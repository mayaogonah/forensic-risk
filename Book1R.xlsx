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yaogonah/Documents/Github/forensic-risk/"/>
    </mc:Choice>
  </mc:AlternateContent>
  <xr:revisionPtr revIDLastSave="0" documentId="13_ncr:1_{71AEF6F8-2FAD-8B47-BAC4-A518BECA1AD1}" xr6:coauthVersionLast="47" xr6:coauthVersionMax="47" xr10:uidLastSave="{00000000-0000-0000-0000-000000000000}"/>
  <bookViews>
    <workbookView xWindow="0" yWindow="760" windowWidth="23260" windowHeight="12460" xr2:uid="{2618AFC7-58E5-4FBB-8E0A-87BC05C341E2}"/>
  </bookViews>
  <sheets>
    <sheet name="Sheet1" sheetId="1" r:id="rId1"/>
  </sheets>
  <definedNames>
    <definedName name="_xlnm._FilterDatabase" localSheetId="0" hidden="1">Sheet1!$A$1:$L$50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1" l="1"/>
  <c r="G100" i="1"/>
  <c r="H100" i="1" s="1"/>
  <c r="I99" i="1"/>
  <c r="G99" i="1"/>
  <c r="H99" i="1" s="1"/>
  <c r="I98" i="1"/>
  <c r="H98" i="1"/>
  <c r="G98" i="1"/>
  <c r="I97" i="1"/>
  <c r="G97" i="1"/>
  <c r="H97" i="1" s="1"/>
  <c r="I96" i="1"/>
  <c r="H96" i="1"/>
  <c r="G96" i="1"/>
  <c r="I95" i="1"/>
  <c r="H95" i="1"/>
  <c r="G95" i="1"/>
  <c r="I94" i="1"/>
  <c r="G94" i="1"/>
  <c r="H94" i="1" s="1"/>
  <c r="I93" i="1"/>
  <c r="G93" i="1"/>
  <c r="H93" i="1" s="1"/>
  <c r="I92" i="1"/>
  <c r="G92" i="1"/>
  <c r="H92" i="1" s="1"/>
  <c r="I91" i="1"/>
  <c r="G91" i="1"/>
  <c r="H91" i="1" s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G86" i="1"/>
  <c r="H86" i="1" s="1"/>
  <c r="I85" i="1"/>
  <c r="G85" i="1"/>
  <c r="H85" i="1" s="1"/>
  <c r="I84" i="1"/>
  <c r="G84" i="1"/>
  <c r="H84" i="1" s="1"/>
  <c r="I83" i="1"/>
  <c r="G83" i="1"/>
  <c r="H83" i="1" s="1"/>
  <c r="I82" i="1"/>
  <c r="H82" i="1"/>
  <c r="G82" i="1"/>
  <c r="I81" i="1"/>
  <c r="H81" i="1"/>
  <c r="G81" i="1"/>
  <c r="I80" i="1"/>
  <c r="H80" i="1"/>
  <c r="G80" i="1"/>
  <c r="I79" i="1"/>
  <c r="H79" i="1"/>
  <c r="G79" i="1"/>
  <c r="I78" i="1"/>
  <c r="G78" i="1"/>
  <c r="H78" i="1" s="1"/>
  <c r="I77" i="1"/>
  <c r="G77" i="1"/>
  <c r="H77" i="1" s="1"/>
  <c r="I76" i="1"/>
  <c r="G76" i="1"/>
  <c r="H76" i="1" s="1"/>
  <c r="I75" i="1"/>
  <c r="G75" i="1"/>
  <c r="H75" i="1" s="1"/>
  <c r="I74" i="1"/>
  <c r="H74" i="1"/>
  <c r="G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G69" i="1"/>
  <c r="H69" i="1" s="1"/>
  <c r="I68" i="1"/>
  <c r="G68" i="1"/>
  <c r="H68" i="1" s="1"/>
  <c r="I67" i="1"/>
  <c r="G67" i="1"/>
  <c r="H67" i="1" s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G61" i="1"/>
  <c r="H61" i="1" s="1"/>
  <c r="I60" i="1"/>
  <c r="G60" i="1"/>
  <c r="H60" i="1" s="1"/>
  <c r="I59" i="1"/>
  <c r="G59" i="1"/>
  <c r="H59" i="1" s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I52" i="1"/>
  <c r="H52" i="1"/>
  <c r="G52" i="1"/>
  <c r="I51" i="1"/>
  <c r="G51" i="1"/>
  <c r="H51" i="1" s="1"/>
  <c r="I9" i="1"/>
  <c r="G9" i="1"/>
  <c r="H9" i="1" s="1"/>
  <c r="I8" i="1"/>
  <c r="G8" i="1"/>
  <c r="H8" i="1" s="1"/>
  <c r="I14" i="1"/>
  <c r="G14" i="1"/>
  <c r="H14" i="1" s="1"/>
  <c r="I13" i="1"/>
  <c r="G13" i="1"/>
  <c r="H13" i="1" s="1"/>
  <c r="I38" i="1"/>
  <c r="G38" i="1"/>
  <c r="H38" i="1" s="1"/>
  <c r="I37" i="1"/>
  <c r="G37" i="1"/>
  <c r="H37" i="1" s="1"/>
  <c r="I29" i="1"/>
  <c r="G29" i="1"/>
  <c r="H29" i="1" s="1"/>
  <c r="I28" i="1"/>
  <c r="G28" i="1"/>
  <c r="H28" i="1" s="1"/>
  <c r="I36" i="1"/>
  <c r="G36" i="1"/>
  <c r="H36" i="1" s="1"/>
  <c r="I27" i="1"/>
  <c r="G27" i="1"/>
  <c r="H27" i="1" s="1"/>
  <c r="I21" i="1"/>
  <c r="G21" i="1"/>
  <c r="H21" i="1" s="1"/>
  <c r="I42" i="1"/>
  <c r="G42" i="1"/>
  <c r="H42" i="1" s="1"/>
  <c r="I39" i="1"/>
  <c r="G39" i="1"/>
  <c r="H39" i="1" s="1"/>
  <c r="I35" i="1"/>
  <c r="G35" i="1"/>
  <c r="H35" i="1" s="1"/>
  <c r="I31" i="1"/>
  <c r="G31" i="1"/>
  <c r="H31" i="1" s="1"/>
  <c r="I2" i="1"/>
  <c r="G2" i="1"/>
  <c r="H2" i="1" s="1"/>
  <c r="G3" i="1"/>
  <c r="H3" i="1" s="1"/>
  <c r="I3" i="1"/>
  <c r="G5" i="1"/>
  <c r="H5" i="1" s="1"/>
  <c r="I5" i="1"/>
  <c r="G4" i="1"/>
  <c r="H4" i="1" s="1"/>
  <c r="I4" i="1"/>
  <c r="I15" i="1"/>
  <c r="G15" i="1"/>
  <c r="H15" i="1" s="1"/>
  <c r="I46" i="1"/>
  <c r="G46" i="1"/>
  <c r="H46" i="1" s="1"/>
  <c r="I44" i="1"/>
  <c r="I12" i="1"/>
  <c r="G12" i="1"/>
  <c r="H12" i="1" s="1"/>
  <c r="I11" i="1"/>
  <c r="G11" i="1"/>
  <c r="H11" i="1" s="1"/>
  <c r="I24" i="1"/>
  <c r="I7" i="1"/>
  <c r="G7" i="1"/>
  <c r="H7" i="1" s="1"/>
  <c r="I20" i="1"/>
  <c r="G20" i="1"/>
  <c r="H20" i="1" s="1"/>
  <c r="I47" i="1"/>
  <c r="G47" i="1"/>
  <c r="H47" i="1" s="1"/>
  <c r="I23" i="1"/>
  <c r="G23" i="1"/>
  <c r="H23" i="1" s="1"/>
  <c r="I22" i="1"/>
  <c r="G22" i="1"/>
  <c r="H22" i="1" s="1"/>
  <c r="I10" i="1"/>
  <c r="G10" i="1"/>
  <c r="H10" i="1" s="1"/>
  <c r="I6" i="1"/>
  <c r="G6" i="1"/>
  <c r="H6" i="1" s="1"/>
  <c r="I33" i="1"/>
  <c r="G33" i="1"/>
  <c r="H33" i="1" s="1"/>
  <c r="I40" i="1"/>
  <c r="G40" i="1"/>
  <c r="H40" i="1" s="1"/>
  <c r="I32" i="1"/>
  <c r="G32" i="1"/>
  <c r="H32" i="1" s="1"/>
  <c r="I17" i="1"/>
  <c r="I41" i="1"/>
  <c r="G41" i="1"/>
  <c r="H41" i="1" s="1"/>
  <c r="I30" i="1"/>
  <c r="G30" i="1"/>
  <c r="H30" i="1" s="1"/>
  <c r="I50" i="1"/>
  <c r="G50" i="1"/>
  <c r="H50" i="1" s="1"/>
  <c r="I16" i="1"/>
  <c r="G16" i="1"/>
  <c r="H16" i="1" s="1"/>
  <c r="I49" i="1"/>
  <c r="G49" i="1"/>
  <c r="H49" i="1" s="1"/>
  <c r="I48" i="1"/>
  <c r="G48" i="1"/>
  <c r="H48" i="1" s="1"/>
  <c r="I45" i="1"/>
  <c r="G45" i="1"/>
  <c r="H45" i="1" s="1"/>
  <c r="I43" i="1"/>
  <c r="G43" i="1"/>
  <c r="H43" i="1" s="1"/>
  <c r="I34" i="1"/>
  <c r="G34" i="1"/>
  <c r="H34" i="1" s="1"/>
  <c r="I26" i="1"/>
  <c r="G26" i="1"/>
  <c r="H26" i="1" s="1"/>
  <c r="I25" i="1"/>
  <c r="G25" i="1"/>
  <c r="H25" i="1" s="1"/>
</calcChain>
</file>

<file path=xl/sharedStrings.xml><?xml version="1.0" encoding="utf-8"?>
<sst xmlns="http://schemas.openxmlformats.org/spreadsheetml/2006/main" count="111" uniqueCount="58">
  <si>
    <t>author(s) and year</t>
  </si>
  <si>
    <t>samplesize</t>
  </si>
  <si>
    <t>observed</t>
  </si>
  <si>
    <t>auc</t>
  </si>
  <si>
    <t>auc.lb</t>
  </si>
  <si>
    <t>auc.ub</t>
  </si>
  <si>
    <t>variance</t>
  </si>
  <si>
    <t>standard_error</t>
  </si>
  <si>
    <t>logit(c)</t>
  </si>
  <si>
    <t>group</t>
  </si>
  <si>
    <t>rows</t>
  </si>
  <si>
    <t xml:space="preserve">de Vries Robbe et al. (2013) </t>
  </si>
  <si>
    <t xml:space="preserve">Dolan &amp; Khawaja (2004) </t>
  </si>
  <si>
    <t xml:space="preserve">Douglas et al. (2003) </t>
  </si>
  <si>
    <t xml:space="preserve">Jeandarme et al. (2016) </t>
  </si>
  <si>
    <t>Michel et al. (2013)</t>
  </si>
  <si>
    <t>Nilsson et al. (2011)</t>
  </si>
  <si>
    <t xml:space="preserve">Pedersen et al. (2010) </t>
  </si>
  <si>
    <t xml:space="preserve">Pedersen et al. (2012) </t>
  </si>
  <si>
    <t xml:space="preserve">Schaap et al. (2009) </t>
  </si>
  <si>
    <t xml:space="preserve">Sheperd et al. (2018) </t>
  </si>
  <si>
    <t>Vojt et al. (2013)</t>
  </si>
  <si>
    <t xml:space="preserve">Grann et al. (2000) </t>
  </si>
  <si>
    <t>Ho et al. (2009)</t>
  </si>
  <si>
    <t xml:space="preserve">Tengstrom (2001) </t>
  </si>
  <si>
    <t xml:space="preserve">Thomson et al. (2008) </t>
  </si>
  <si>
    <t>Troquete et al. (2015)</t>
  </si>
  <si>
    <t xml:space="preserve">de Vogel et al. (2019) </t>
  </si>
  <si>
    <t>Wolf et al. (2018)</t>
  </si>
  <si>
    <t>Delforterie et al. (2020)</t>
  </si>
  <si>
    <t>Jung et al. (2018)</t>
  </si>
  <si>
    <t xml:space="preserve">Coid et al. (2016) </t>
  </si>
  <si>
    <t>Ferguson et al. (2009)</t>
  </si>
  <si>
    <t>Canales et al. (2014)</t>
  </si>
  <si>
    <t>Bogaerts et al. (2018)</t>
  </si>
  <si>
    <t xml:space="preserve">Brookstein et al. (2020) </t>
  </si>
  <si>
    <t>de Vogel et al. (2014)</t>
  </si>
  <si>
    <t xml:space="preserve">Hogan &amp; Olver (2019) </t>
  </si>
  <si>
    <t xml:space="preserve">Bengtson et al. (2008) </t>
  </si>
  <si>
    <t xml:space="preserve">Gonsalves et al. (2013) </t>
  </si>
  <si>
    <t xml:space="preserve">Hildebrand et al. (2004) </t>
  </si>
  <si>
    <t xml:space="preserve">Jeandarme et al. (2017) </t>
  </si>
  <si>
    <t>Stadtland et al. (2005)</t>
  </si>
  <si>
    <t xml:space="preserve">Tengstrom et al. (2000) </t>
  </si>
  <si>
    <t xml:space="preserve">Wallinius et al. (2012) </t>
  </si>
  <si>
    <t xml:space="preserve">de Vries Robbe et al. (2015) </t>
  </si>
  <si>
    <t>Gray et al. (2007)</t>
  </si>
  <si>
    <t>colour</t>
  </si>
  <si>
    <t xml:space="preserve">de Vogel et al. (2004) </t>
  </si>
  <si>
    <t>Hanson &amp; Thornton (2000)**</t>
  </si>
  <si>
    <t xml:space="preserve">Harris et al. (2002) </t>
  </si>
  <si>
    <t xml:space="preserve">van Heesch et al. (2016) </t>
  </si>
  <si>
    <t xml:space="preserve">Brouillette-Alarie &amp; Proulx (2013) </t>
  </si>
  <si>
    <t xml:space="preserve">Ducro &amp; Pham (2006) </t>
  </si>
  <si>
    <t>Hanson &amp; Thornton (2000)*</t>
  </si>
  <si>
    <t>Gammelgard et al. (2015)</t>
  </si>
  <si>
    <t>Kikcuhi et al. (2021)</t>
  </si>
  <si>
    <r>
      <t xml:space="preserve">Sjöstedt &amp; Långström </t>
    </r>
    <r>
      <rPr>
        <sz val="11"/>
        <color rgb="FF000000"/>
        <rFont val="Garamond"/>
        <family val="1"/>
      </rPr>
      <t xml:space="preserve">(2002)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</si>
</sst>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sz val="11"/>
      <color rgb="FF000000"/>
      <name val="Garamond"/>
      <family val="1"/>
    </font>
    <font>
      <b/>
      <sz val="11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7E4D-FB29-4067-9C59-CEB39E9CFB7B}">
  <dimension ref="A1:L100"/>
  <sheetViews>
    <sheetView tabSelected="1" zoomScale="75" workbookViewId="0">
      <selection sqref="A1:L1"/>
    </sheetView>
  </sheetViews>
  <sheetFormatPr baseColWidth="10" defaultColWidth="8.83203125" defaultRowHeight="15" x14ac:dyDescent="0.2"/>
  <cols>
    <col min="1" max="1" width="37.83203125" customWidth="1"/>
  </cols>
  <sheetData>
    <row r="1" spans="1:12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47</v>
      </c>
    </row>
    <row r="2" spans="1:12" x14ac:dyDescent="0.2">
      <c r="A2" s="2" t="s">
        <v>31</v>
      </c>
      <c r="B2" s="3">
        <v>387</v>
      </c>
      <c r="C2" s="3">
        <v>87</v>
      </c>
      <c r="D2" s="3">
        <v>0.66</v>
      </c>
      <c r="E2" s="3">
        <v>0.59</v>
      </c>
      <c r="F2" s="3">
        <v>0.73</v>
      </c>
      <c r="G2" s="1">
        <f t="shared" ref="G2:G16" si="0">(1+(B2/2-1)*(1-D2)/(2-D2)+(B2/2-1)*D2/(1+D2))/(D2*(1-D2)*C2*(B2-C2))</f>
        <v>2.157809128478886E-2</v>
      </c>
      <c r="H2" s="3">
        <f t="shared" ref="H2:H16" si="1">SQRT(G2)</f>
        <v>0.14689483069457843</v>
      </c>
      <c r="I2" s="1">
        <f t="shared" ref="I2:I17" si="2">LN(D2)-LN(1-D2)</f>
        <v>0.66329421741026429</v>
      </c>
      <c r="J2" s="4">
        <v>1</v>
      </c>
      <c r="K2" s="4">
        <v>6</v>
      </c>
      <c r="L2" s="4">
        <v>3</v>
      </c>
    </row>
    <row r="3" spans="1:12" x14ac:dyDescent="0.2">
      <c r="A3" s="2" t="s">
        <v>31</v>
      </c>
      <c r="B3" s="3">
        <v>387</v>
      </c>
      <c r="C3" s="3">
        <v>87</v>
      </c>
      <c r="D3" s="3">
        <v>0.62</v>
      </c>
      <c r="E3" s="3">
        <v>0.55000000000000004</v>
      </c>
      <c r="F3" s="3">
        <v>0.69</v>
      </c>
      <c r="G3" s="1">
        <f t="shared" si="0"/>
        <v>2.0763825609186364E-2</v>
      </c>
      <c r="H3" s="3">
        <f t="shared" si="1"/>
        <v>0.14409658430783973</v>
      </c>
      <c r="I3" s="1">
        <f t="shared" si="2"/>
        <v>0.48954822531870579</v>
      </c>
      <c r="J3" s="4">
        <v>1</v>
      </c>
      <c r="K3" s="4">
        <v>23</v>
      </c>
      <c r="L3" s="4">
        <v>3</v>
      </c>
    </row>
    <row r="4" spans="1:12" x14ac:dyDescent="0.2">
      <c r="A4" s="2" t="s">
        <v>31</v>
      </c>
      <c r="B4" s="3">
        <v>387</v>
      </c>
      <c r="C4" s="3">
        <v>87</v>
      </c>
      <c r="D4" s="3">
        <v>0.64</v>
      </c>
      <c r="E4" s="3">
        <v>0.56999999999999995</v>
      </c>
      <c r="F4" s="3">
        <v>0.71</v>
      </c>
      <c r="G4" s="1">
        <f t="shared" si="0"/>
        <v>2.1132302570983232E-2</v>
      </c>
      <c r="H4" s="3">
        <f t="shared" si="1"/>
        <v>0.14536953797471888</v>
      </c>
      <c r="I4" s="1">
        <f t="shared" si="2"/>
        <v>0.57536414490356202</v>
      </c>
      <c r="J4" s="4">
        <v>1</v>
      </c>
      <c r="K4" s="3">
        <v>29</v>
      </c>
      <c r="L4" s="4">
        <v>3</v>
      </c>
    </row>
    <row r="5" spans="1:12" x14ac:dyDescent="0.2">
      <c r="A5" s="2" t="s">
        <v>31</v>
      </c>
      <c r="B5" s="3">
        <v>387</v>
      </c>
      <c r="C5" s="3">
        <v>87</v>
      </c>
      <c r="D5" s="3">
        <v>0.65</v>
      </c>
      <c r="E5" s="3">
        <v>0.57999999999999996</v>
      </c>
      <c r="F5" s="3">
        <v>0.71</v>
      </c>
      <c r="G5" s="1">
        <f t="shared" si="0"/>
        <v>2.1344910233799128E-2</v>
      </c>
      <c r="H5" s="3">
        <f t="shared" si="1"/>
        <v>0.14609897410248687</v>
      </c>
      <c r="I5" s="1">
        <f t="shared" si="2"/>
        <v>0.61903920840622362</v>
      </c>
      <c r="J5" s="4">
        <v>1</v>
      </c>
      <c r="K5" s="3">
        <v>32</v>
      </c>
      <c r="L5" s="4">
        <v>3</v>
      </c>
    </row>
    <row r="6" spans="1:12" x14ac:dyDescent="0.2">
      <c r="A6" s="2" t="s">
        <v>31</v>
      </c>
      <c r="B6" s="3">
        <v>387</v>
      </c>
      <c r="C6" s="3">
        <v>87</v>
      </c>
      <c r="D6" s="3">
        <v>0.63</v>
      </c>
      <c r="E6" s="3">
        <v>0.54</v>
      </c>
      <c r="F6" s="3">
        <v>0.72</v>
      </c>
      <c r="G6" s="1">
        <f t="shared" si="0"/>
        <v>2.0938983578930002E-2</v>
      </c>
      <c r="H6" s="3">
        <f t="shared" si="1"/>
        <v>0.14470308766204681</v>
      </c>
      <c r="I6" s="1">
        <f t="shared" si="2"/>
        <v>0.53221681374730823</v>
      </c>
      <c r="J6" s="4">
        <v>1</v>
      </c>
      <c r="K6" s="3">
        <v>38</v>
      </c>
      <c r="L6" s="4">
        <v>3</v>
      </c>
    </row>
    <row r="7" spans="1:12" x14ac:dyDescent="0.2">
      <c r="A7" s="2" t="s">
        <v>31</v>
      </c>
      <c r="B7" s="3">
        <v>387</v>
      </c>
      <c r="C7" s="3">
        <v>87</v>
      </c>
      <c r="D7" s="3">
        <v>0.7</v>
      </c>
      <c r="E7" s="3">
        <v>0.63</v>
      </c>
      <c r="F7" s="3">
        <v>0.76</v>
      </c>
      <c r="G7" s="1">
        <f t="shared" si="0"/>
        <v>2.2749093743008545E-2</v>
      </c>
      <c r="H7" s="3">
        <f t="shared" si="1"/>
        <v>0.15082802704739112</v>
      </c>
      <c r="I7" s="1">
        <f t="shared" si="2"/>
        <v>0.84729786038720345</v>
      </c>
      <c r="J7" s="4">
        <v>1</v>
      </c>
      <c r="K7" s="3">
        <v>58</v>
      </c>
      <c r="L7" s="4">
        <v>3</v>
      </c>
    </row>
    <row r="8" spans="1:12" x14ac:dyDescent="0.2">
      <c r="A8" s="2" t="s">
        <v>31</v>
      </c>
      <c r="B8" s="3">
        <v>387</v>
      </c>
      <c r="C8" s="3">
        <v>87</v>
      </c>
      <c r="D8" s="3">
        <v>0.7</v>
      </c>
      <c r="E8" s="3">
        <v>0.63</v>
      </c>
      <c r="F8" s="3">
        <v>0.76</v>
      </c>
      <c r="G8" s="1">
        <f t="shared" si="0"/>
        <v>2.2749093743008545E-2</v>
      </c>
      <c r="H8" s="3">
        <f t="shared" si="1"/>
        <v>0.15082802704739112</v>
      </c>
      <c r="I8" s="1">
        <f t="shared" si="2"/>
        <v>0.84729786038720345</v>
      </c>
      <c r="J8" s="4">
        <v>1</v>
      </c>
      <c r="K8" s="4">
        <v>54</v>
      </c>
      <c r="L8" s="4">
        <v>3</v>
      </c>
    </row>
    <row r="9" spans="1:12" x14ac:dyDescent="0.2">
      <c r="A9" s="2" t="s">
        <v>31</v>
      </c>
      <c r="B9" s="3">
        <v>387</v>
      </c>
      <c r="C9" s="3">
        <v>87</v>
      </c>
      <c r="D9" s="3">
        <v>0.64</v>
      </c>
      <c r="E9" s="3">
        <v>0.56999999999999995</v>
      </c>
      <c r="F9" s="3">
        <v>0.7</v>
      </c>
      <c r="G9" s="1">
        <f t="shared" si="0"/>
        <v>2.1132302570983232E-2</v>
      </c>
      <c r="H9" s="3">
        <f t="shared" si="1"/>
        <v>0.14536953797471888</v>
      </c>
      <c r="I9" s="1">
        <f t="shared" si="2"/>
        <v>0.57536414490356202</v>
      </c>
      <c r="J9" s="4">
        <v>1</v>
      </c>
      <c r="K9" s="4">
        <v>69</v>
      </c>
      <c r="L9" s="4">
        <v>3</v>
      </c>
    </row>
    <row r="10" spans="1:12" x14ac:dyDescent="0.2">
      <c r="A10" s="2" t="s">
        <v>32</v>
      </c>
      <c r="B10" s="3">
        <v>208</v>
      </c>
      <c r="C10" s="3">
        <v>70</v>
      </c>
      <c r="D10" s="3">
        <v>0.6</v>
      </c>
      <c r="E10" s="3">
        <v>0.52</v>
      </c>
      <c r="F10" s="3">
        <v>0.68</v>
      </c>
      <c r="G10" s="1">
        <f t="shared" si="0"/>
        <v>2.9785011830819285E-2</v>
      </c>
      <c r="H10" s="3">
        <f t="shared" si="1"/>
        <v>0.17258334748989917</v>
      </c>
      <c r="I10" s="1">
        <f t="shared" si="2"/>
        <v>0.40546510810816427</v>
      </c>
      <c r="J10" s="4">
        <v>1</v>
      </c>
      <c r="K10" s="3">
        <v>41</v>
      </c>
      <c r="L10" s="4">
        <v>3</v>
      </c>
    </row>
    <row r="11" spans="1:12" x14ac:dyDescent="0.2">
      <c r="A11" s="5" t="s">
        <v>39</v>
      </c>
      <c r="B11" s="3">
        <v>81</v>
      </c>
      <c r="C11" s="3">
        <v>30</v>
      </c>
      <c r="D11" s="3">
        <v>0.63</v>
      </c>
      <c r="E11" s="3">
        <v>0.5</v>
      </c>
      <c r="F11" s="3">
        <v>0.74</v>
      </c>
      <c r="G11" s="1">
        <f t="shared" si="0"/>
        <v>7.5523014267272884E-2</v>
      </c>
      <c r="H11" s="3">
        <f t="shared" si="1"/>
        <v>0.27481450883691144</v>
      </c>
      <c r="I11" s="1">
        <f t="shared" si="2"/>
        <v>0.53221681374730823</v>
      </c>
      <c r="J11" s="4">
        <v>2</v>
      </c>
      <c r="K11" s="4">
        <v>3</v>
      </c>
      <c r="L11" s="4">
        <v>3</v>
      </c>
    </row>
    <row r="12" spans="1:12" x14ac:dyDescent="0.2">
      <c r="A12" s="5" t="s">
        <v>39</v>
      </c>
      <c r="B12" s="3">
        <v>70</v>
      </c>
      <c r="C12" s="3">
        <v>22</v>
      </c>
      <c r="D12" s="3">
        <v>0.71</v>
      </c>
      <c r="E12" s="3">
        <v>0.56000000000000005</v>
      </c>
      <c r="F12" s="3">
        <v>0.82</v>
      </c>
      <c r="G12" s="1">
        <f t="shared" si="0"/>
        <v>0.10467887616929675</v>
      </c>
      <c r="H12" s="3">
        <f t="shared" si="1"/>
        <v>0.32354115065829997</v>
      </c>
      <c r="I12" s="1">
        <f t="shared" si="2"/>
        <v>0.8953840470548412</v>
      </c>
      <c r="J12" s="4">
        <v>2</v>
      </c>
      <c r="K12" s="4">
        <v>10</v>
      </c>
      <c r="L12" s="4">
        <v>3</v>
      </c>
    </row>
    <row r="13" spans="1:12" x14ac:dyDescent="0.2">
      <c r="A13" s="2" t="s">
        <v>56</v>
      </c>
      <c r="B13" s="3">
        <v>181</v>
      </c>
      <c r="C13" s="3">
        <v>6</v>
      </c>
      <c r="D13" s="3">
        <v>0.86</v>
      </c>
      <c r="E13" s="3">
        <v>0.63</v>
      </c>
      <c r="F13" s="3">
        <v>0.96</v>
      </c>
      <c r="G13" s="1">
        <f t="shared" si="0"/>
        <v>0.42218753757540711</v>
      </c>
      <c r="H13" s="3">
        <f t="shared" si="1"/>
        <v>0.6497595998332053</v>
      </c>
      <c r="I13" s="1">
        <f t="shared" si="2"/>
        <v>1.8152899666382492</v>
      </c>
      <c r="J13" s="4">
        <v>2</v>
      </c>
      <c r="K13" s="4">
        <v>37</v>
      </c>
      <c r="L13" s="4">
        <v>3</v>
      </c>
    </row>
    <row r="14" spans="1:12" x14ac:dyDescent="0.2">
      <c r="A14" s="2" t="s">
        <v>56</v>
      </c>
      <c r="B14" s="3">
        <v>181</v>
      </c>
      <c r="C14" s="3">
        <v>6</v>
      </c>
      <c r="D14" s="3">
        <v>0.82</v>
      </c>
      <c r="E14" s="3">
        <v>0.59</v>
      </c>
      <c r="F14" s="3">
        <v>0.94</v>
      </c>
      <c r="G14" s="1">
        <f t="shared" si="0"/>
        <v>0.35473427666187363</v>
      </c>
      <c r="H14" s="3">
        <f t="shared" si="1"/>
        <v>0.59559573257527088</v>
      </c>
      <c r="I14" s="1">
        <f t="shared" si="2"/>
        <v>1.5163474893680882</v>
      </c>
      <c r="J14" s="4">
        <v>2</v>
      </c>
      <c r="K14" s="4">
        <v>43</v>
      </c>
      <c r="L14" s="4">
        <v>3</v>
      </c>
    </row>
    <row r="15" spans="1:12" x14ac:dyDescent="0.2">
      <c r="A15" s="2" t="s">
        <v>19</v>
      </c>
      <c r="B15" s="3">
        <v>45</v>
      </c>
      <c r="C15" s="3">
        <v>7</v>
      </c>
      <c r="D15" s="3">
        <v>0.56999999999999995</v>
      </c>
      <c r="E15" s="3">
        <v>0.34</v>
      </c>
      <c r="F15" s="3">
        <v>0.77</v>
      </c>
      <c r="G15" s="1">
        <f t="shared" si="0"/>
        <v>0.23422643894177606</v>
      </c>
      <c r="H15" s="3">
        <f t="shared" si="1"/>
        <v>0.48396946075323394</v>
      </c>
      <c r="I15" s="1">
        <f t="shared" si="2"/>
        <v>0.28185115214098755</v>
      </c>
      <c r="J15" s="4">
        <v>2</v>
      </c>
      <c r="K15" s="4">
        <v>15</v>
      </c>
      <c r="L15" s="4">
        <v>3</v>
      </c>
    </row>
    <row r="16" spans="1:12" x14ac:dyDescent="0.2">
      <c r="A16" s="2" t="s">
        <v>19</v>
      </c>
      <c r="B16" s="3">
        <v>45</v>
      </c>
      <c r="C16" s="3">
        <v>7</v>
      </c>
      <c r="D16" s="3">
        <v>0.68</v>
      </c>
      <c r="E16" s="3">
        <v>0.44</v>
      </c>
      <c r="F16" s="3">
        <v>0.85</v>
      </c>
      <c r="G16" s="1">
        <f t="shared" si="0"/>
        <v>0.25767259655058194</v>
      </c>
      <c r="H16" s="3">
        <f t="shared" si="1"/>
        <v>0.50761461420114962</v>
      </c>
      <c r="I16" s="1">
        <f t="shared" si="2"/>
        <v>0.75377180237638042</v>
      </c>
      <c r="J16" s="4">
        <v>2</v>
      </c>
      <c r="K16" s="4">
        <v>74</v>
      </c>
      <c r="L16" s="4">
        <v>3</v>
      </c>
    </row>
    <row r="17" spans="1:12" x14ac:dyDescent="0.2">
      <c r="A17" s="5" t="s">
        <v>26</v>
      </c>
      <c r="B17" s="3">
        <v>163</v>
      </c>
      <c r="C17" s="3"/>
      <c r="D17" s="3">
        <v>0.61</v>
      </c>
      <c r="E17" s="3">
        <v>0.52</v>
      </c>
      <c r="F17" s="3">
        <v>0.7</v>
      </c>
      <c r="G17" s="1"/>
      <c r="H17" s="3"/>
      <c r="I17" s="1">
        <f t="shared" si="2"/>
        <v>0.44731221804366483</v>
      </c>
      <c r="J17" s="4">
        <v>1</v>
      </c>
      <c r="K17" s="4">
        <v>83</v>
      </c>
      <c r="L17" s="4">
        <v>3</v>
      </c>
    </row>
    <row r="18" spans="1:12" x14ac:dyDescent="0.2">
      <c r="A18" s="4" t="s">
        <v>26</v>
      </c>
      <c r="B18" s="4">
        <v>163</v>
      </c>
      <c r="C18" s="4"/>
      <c r="D18" s="4">
        <v>0.59</v>
      </c>
      <c r="E18" s="4">
        <v>0.49</v>
      </c>
      <c r="F18" s="4">
        <v>0.7</v>
      </c>
      <c r="G18" s="4"/>
      <c r="H18" s="4"/>
      <c r="I18" s="4">
        <v>0.36396537699999998</v>
      </c>
      <c r="J18" s="4">
        <v>1</v>
      </c>
      <c r="K18" s="4">
        <v>38</v>
      </c>
      <c r="L18" s="4">
        <v>3</v>
      </c>
    </row>
    <row r="19" spans="1:12" x14ac:dyDescent="0.2">
      <c r="A19" s="4" t="s">
        <v>26</v>
      </c>
      <c r="B19" s="4">
        <v>163</v>
      </c>
      <c r="C19" s="4"/>
      <c r="D19" s="4">
        <v>0.59</v>
      </c>
      <c r="E19" s="4">
        <v>0.49</v>
      </c>
      <c r="F19" s="4">
        <v>0.7</v>
      </c>
      <c r="G19" s="4"/>
      <c r="H19" s="4"/>
      <c r="I19" s="4">
        <v>0.36396537699999998</v>
      </c>
      <c r="J19" s="4">
        <v>1</v>
      </c>
      <c r="K19" s="4">
        <v>44</v>
      </c>
      <c r="L19" s="4">
        <v>3</v>
      </c>
    </row>
    <row r="20" spans="1:12" x14ac:dyDescent="0.2">
      <c r="A20" s="2" t="s">
        <v>34</v>
      </c>
      <c r="B20" s="3">
        <v>332</v>
      </c>
      <c r="C20" s="3">
        <v>41</v>
      </c>
      <c r="D20" s="3">
        <v>0.68</v>
      </c>
      <c r="E20" s="3">
        <v>0.47</v>
      </c>
      <c r="F20" s="3">
        <v>0.9</v>
      </c>
      <c r="G20" s="1">
        <f>(1+(B20/2-1)*(1-D20)/(2-D20)+(B20/2-1)*D20/(1+D20))/(D20*(1-D20)*C20*(B20-C20))</f>
        <v>4.151695251900106E-2</v>
      </c>
      <c r="H20" s="3">
        <f>SQRT(G20)</f>
        <v>0.20375709194774316</v>
      </c>
      <c r="I20" s="1">
        <f t="shared" ref="I20:I51" si="3">LN(D20)-LN(1-D20)</f>
        <v>0.75377180237638042</v>
      </c>
      <c r="J20" s="4">
        <v>1</v>
      </c>
      <c r="K20" s="3">
        <v>53</v>
      </c>
      <c r="L20" s="4">
        <v>2</v>
      </c>
    </row>
    <row r="21" spans="1:12" x14ac:dyDescent="0.2">
      <c r="A21" s="2" t="s">
        <v>52</v>
      </c>
      <c r="B21" s="3">
        <v>228</v>
      </c>
      <c r="C21" s="3">
        <v>28</v>
      </c>
      <c r="D21" s="3">
        <v>0.68</v>
      </c>
      <c r="E21" s="3">
        <v>0.57999999999999996</v>
      </c>
      <c r="F21" s="3">
        <v>0.78</v>
      </c>
      <c r="G21" s="1">
        <f>(1+(B21/2-1)*(1-D21)/(2-D21)+(B21/2-1)*D21/(1+D21))/(D21*(1-D21)*C21*(B21-C21))</f>
        <v>6.0835768966677584E-2</v>
      </c>
      <c r="H21" s="3">
        <f>SQRT(G21)</f>
        <v>0.24664908061186358</v>
      </c>
      <c r="I21" s="1">
        <f t="shared" si="3"/>
        <v>0.75377180237638042</v>
      </c>
      <c r="J21" s="4">
        <v>1</v>
      </c>
      <c r="K21" s="4">
        <v>19</v>
      </c>
      <c r="L21" s="4">
        <v>2</v>
      </c>
    </row>
    <row r="22" spans="1:12" x14ac:dyDescent="0.2">
      <c r="A22" s="2" t="s">
        <v>33</v>
      </c>
      <c r="B22" s="3">
        <v>138</v>
      </c>
      <c r="C22" s="3">
        <v>28</v>
      </c>
      <c r="D22" s="3">
        <v>0.63</v>
      </c>
      <c r="E22" s="3">
        <v>0.53</v>
      </c>
      <c r="F22" s="3">
        <v>0.72</v>
      </c>
      <c r="G22" s="1">
        <f>(1+(B22/2-1)*(1-D22)/(2-D22)+(B22/2-1)*D22/(1+D22))/(D22*(1-D22)*C22*(B22-C22))</f>
        <v>6.3580053280469756E-2</v>
      </c>
      <c r="H22" s="3">
        <f>SQRT(G22)</f>
        <v>0.25215085421324623</v>
      </c>
      <c r="I22" s="1">
        <f t="shared" si="3"/>
        <v>0.53221681374730823</v>
      </c>
      <c r="J22" s="4">
        <v>1</v>
      </c>
      <c r="K22" s="3">
        <v>44</v>
      </c>
      <c r="L22" s="4">
        <v>2</v>
      </c>
    </row>
    <row r="23" spans="1:12" x14ac:dyDescent="0.2">
      <c r="A23" s="6" t="s">
        <v>33</v>
      </c>
      <c r="B23" s="3">
        <v>138</v>
      </c>
      <c r="C23" s="3">
        <v>28</v>
      </c>
      <c r="D23" s="3">
        <v>0.77</v>
      </c>
      <c r="E23" s="3">
        <v>0.68</v>
      </c>
      <c r="F23" s="3">
        <v>0.85</v>
      </c>
      <c r="G23" s="1">
        <f>(1+(B23/2-1)*(1-D23)/(2-D23)+(B23/2-1)*D23/(1+D23))/(D23*(1-D23)*C23*(B23-C23))</f>
        <v>7.937655015221122E-2</v>
      </c>
      <c r="H23" s="3">
        <f>SQRT(G23)</f>
        <v>0.2817384428014949</v>
      </c>
      <c r="I23" s="1">
        <f t="shared" si="3"/>
        <v>1.2083112059245342</v>
      </c>
      <c r="J23" s="4">
        <v>1</v>
      </c>
      <c r="K23" s="3">
        <v>47</v>
      </c>
      <c r="L23" s="4">
        <v>2</v>
      </c>
    </row>
    <row r="24" spans="1:12" x14ac:dyDescent="0.2">
      <c r="A24" s="2" t="s">
        <v>36</v>
      </c>
      <c r="B24" s="3">
        <v>86</v>
      </c>
      <c r="C24" s="3"/>
      <c r="D24" s="3">
        <v>0.77</v>
      </c>
      <c r="E24" s="3"/>
      <c r="F24" s="3"/>
      <c r="G24" s="1"/>
      <c r="H24" s="3"/>
      <c r="I24" s="1">
        <f t="shared" si="3"/>
        <v>1.2083112059245342</v>
      </c>
      <c r="J24" s="4">
        <v>2</v>
      </c>
      <c r="K24" s="3">
        <v>60</v>
      </c>
      <c r="L24" s="4">
        <v>2</v>
      </c>
    </row>
    <row r="25" spans="1:12" x14ac:dyDescent="0.2">
      <c r="A25" s="2" t="s">
        <v>12</v>
      </c>
      <c r="B25" s="3">
        <v>70</v>
      </c>
      <c r="C25" s="3">
        <v>9</v>
      </c>
      <c r="D25" s="3">
        <v>0.71</v>
      </c>
      <c r="E25" s="3">
        <v>0.56000000000000005</v>
      </c>
      <c r="F25" s="3">
        <v>0.87</v>
      </c>
      <c r="G25" s="1">
        <f t="shared" ref="G25:G43" si="4">(1+(B25/2-1)*(1-D25)/(2-D25)+(B25/2-1)*D25/(1+D25))/(D25*(1-D25)*C25*(B25-C25))</f>
        <v>0.20134953230378394</v>
      </c>
      <c r="H25" s="3">
        <f t="shared" ref="H25:H43" si="5">SQRT(G25)</f>
        <v>0.448719881779027</v>
      </c>
      <c r="I25" s="1">
        <f t="shared" si="3"/>
        <v>0.8953840470548412</v>
      </c>
      <c r="J25" s="4">
        <v>1</v>
      </c>
      <c r="K25" s="4">
        <v>66</v>
      </c>
      <c r="L25" s="4">
        <v>2</v>
      </c>
    </row>
    <row r="26" spans="1:12" x14ac:dyDescent="0.2">
      <c r="A26" s="2" t="s">
        <v>13</v>
      </c>
      <c r="B26" s="3">
        <v>100</v>
      </c>
      <c r="C26" s="3">
        <v>22</v>
      </c>
      <c r="D26" s="3">
        <v>0.7</v>
      </c>
      <c r="E26" s="3"/>
      <c r="F26" s="3"/>
      <c r="G26" s="1">
        <f t="shared" si="4"/>
        <v>9.0143642179841277E-2</v>
      </c>
      <c r="H26" s="3">
        <f t="shared" si="5"/>
        <v>0.30023930818572253</v>
      </c>
      <c r="I26" s="1">
        <f t="shared" si="3"/>
        <v>0.84729786038720345</v>
      </c>
      <c r="J26" s="4">
        <v>2</v>
      </c>
      <c r="K26" s="3">
        <v>67</v>
      </c>
      <c r="L26" s="4">
        <v>2</v>
      </c>
    </row>
    <row r="27" spans="1:12" x14ac:dyDescent="0.2">
      <c r="A27" s="2" t="s">
        <v>53</v>
      </c>
      <c r="B27" s="3">
        <v>147</v>
      </c>
      <c r="C27" s="3">
        <v>25</v>
      </c>
      <c r="D27" s="3">
        <v>0.69</v>
      </c>
      <c r="E27" s="3">
        <v>0.56000000000000005</v>
      </c>
      <c r="F27" s="3">
        <v>0.8</v>
      </c>
      <c r="G27" s="1">
        <f t="shared" si="4"/>
        <v>7.3202707356118071E-2</v>
      </c>
      <c r="H27" s="3">
        <f t="shared" si="5"/>
        <v>0.27055998846118778</v>
      </c>
      <c r="I27" s="1">
        <f t="shared" si="3"/>
        <v>0.80011930011211274</v>
      </c>
      <c r="J27" s="4">
        <v>2</v>
      </c>
      <c r="K27" s="4">
        <v>24</v>
      </c>
      <c r="L27" s="4">
        <v>2</v>
      </c>
    </row>
    <row r="28" spans="1:12" x14ac:dyDescent="0.2">
      <c r="A28" s="2" t="s">
        <v>53</v>
      </c>
      <c r="B28" s="3">
        <v>147</v>
      </c>
      <c r="C28" s="3">
        <v>26</v>
      </c>
      <c r="D28" s="3">
        <v>0.71</v>
      </c>
      <c r="E28" s="3">
        <v>0.62</v>
      </c>
      <c r="F28" s="3">
        <v>0.82</v>
      </c>
      <c r="G28" s="1">
        <f t="shared" si="4"/>
        <v>7.317630966230719E-2</v>
      </c>
      <c r="H28" s="3">
        <f t="shared" si="5"/>
        <v>0.27051120062264927</v>
      </c>
      <c r="I28" s="1">
        <f t="shared" si="3"/>
        <v>0.8953840470548412</v>
      </c>
      <c r="J28" s="4">
        <v>2</v>
      </c>
      <c r="K28" s="4">
        <v>47</v>
      </c>
      <c r="L28" s="4">
        <v>2</v>
      </c>
    </row>
    <row r="29" spans="1:12" x14ac:dyDescent="0.2">
      <c r="A29" s="2" t="s">
        <v>55</v>
      </c>
      <c r="B29" s="3">
        <v>65</v>
      </c>
      <c r="C29" s="3">
        <v>6</v>
      </c>
      <c r="D29" s="3">
        <v>0.67</v>
      </c>
      <c r="E29" s="3">
        <v>0.45</v>
      </c>
      <c r="F29" s="3">
        <v>0.88</v>
      </c>
      <c r="G29" s="1">
        <f t="shared" si="4"/>
        <v>0.27409835803752691</v>
      </c>
      <c r="H29" s="3">
        <f t="shared" si="5"/>
        <v>0.52354403638808356</v>
      </c>
      <c r="I29" s="1">
        <f t="shared" si="3"/>
        <v>0.70818505792448616</v>
      </c>
      <c r="J29" s="4">
        <v>1</v>
      </c>
      <c r="K29" s="4">
        <v>51</v>
      </c>
      <c r="L29" s="4">
        <v>2</v>
      </c>
    </row>
    <row r="30" spans="1:12" x14ac:dyDescent="0.2">
      <c r="A30" s="2" t="s">
        <v>22</v>
      </c>
      <c r="B30" s="3">
        <v>404</v>
      </c>
      <c r="C30" s="3">
        <v>91</v>
      </c>
      <c r="D30" s="3">
        <v>0.71</v>
      </c>
      <c r="E30" s="3">
        <v>0.66</v>
      </c>
      <c r="F30" s="3">
        <v>0.76</v>
      </c>
      <c r="G30" s="1">
        <f t="shared" si="4"/>
        <v>2.2105699998161026E-2</v>
      </c>
      <c r="H30" s="3">
        <f t="shared" si="5"/>
        <v>0.1486798574056386</v>
      </c>
      <c r="I30" s="1">
        <f t="shared" si="3"/>
        <v>0.8953840470548412</v>
      </c>
      <c r="J30" s="4">
        <v>1</v>
      </c>
      <c r="K30" s="4">
        <v>79</v>
      </c>
      <c r="L30" s="4">
        <v>2</v>
      </c>
    </row>
    <row r="31" spans="1:12" x14ac:dyDescent="0.2">
      <c r="A31" s="2" t="s">
        <v>22</v>
      </c>
      <c r="B31" s="3">
        <v>404</v>
      </c>
      <c r="C31" s="3">
        <v>91</v>
      </c>
      <c r="D31" s="3">
        <v>0.68</v>
      </c>
      <c r="E31" s="3">
        <v>0.63</v>
      </c>
      <c r="F31" s="3">
        <v>0.73</v>
      </c>
      <c r="G31" s="1">
        <f t="shared" si="4"/>
        <v>2.1149808590743429E-2</v>
      </c>
      <c r="H31" s="3">
        <f t="shared" si="5"/>
        <v>0.14542973764242109</v>
      </c>
      <c r="I31" s="1">
        <f t="shared" si="3"/>
        <v>0.75377180237638042</v>
      </c>
      <c r="J31" s="4">
        <v>1</v>
      </c>
      <c r="K31" s="4">
        <v>3</v>
      </c>
      <c r="L31" s="4">
        <v>2</v>
      </c>
    </row>
    <row r="32" spans="1:12" x14ac:dyDescent="0.2">
      <c r="A32" s="2" t="s">
        <v>46</v>
      </c>
      <c r="B32" s="3">
        <v>566</v>
      </c>
      <c r="C32" s="3">
        <v>63</v>
      </c>
      <c r="D32" s="3">
        <v>0.69</v>
      </c>
      <c r="E32" s="3">
        <v>0.61</v>
      </c>
      <c r="F32" s="3">
        <v>0.75</v>
      </c>
      <c r="G32" s="1">
        <f t="shared" si="4"/>
        <v>2.697867266329922E-2</v>
      </c>
      <c r="H32" s="3">
        <f t="shared" si="5"/>
        <v>0.16425185741202203</v>
      </c>
      <c r="I32" s="1">
        <f t="shared" si="3"/>
        <v>0.80011930011211274</v>
      </c>
      <c r="J32" s="4">
        <v>2</v>
      </c>
      <c r="K32" s="3">
        <v>24</v>
      </c>
      <c r="L32" s="4">
        <v>2</v>
      </c>
    </row>
    <row r="33" spans="1:12" x14ac:dyDescent="0.2">
      <c r="A33" s="2" t="s">
        <v>46</v>
      </c>
      <c r="B33" s="3">
        <v>363</v>
      </c>
      <c r="C33" s="3">
        <v>54</v>
      </c>
      <c r="D33" s="3">
        <v>0.72</v>
      </c>
      <c r="E33" s="3">
        <v>0.64</v>
      </c>
      <c r="F33" s="3">
        <v>0.79</v>
      </c>
      <c r="G33" s="1">
        <f t="shared" si="4"/>
        <v>3.4496446780925713E-2</v>
      </c>
      <c r="H33" s="3">
        <f t="shared" si="5"/>
        <v>0.18573219101955835</v>
      </c>
      <c r="I33" s="1">
        <f t="shared" si="3"/>
        <v>0.94446160884085129</v>
      </c>
      <c r="J33" s="4">
        <v>2</v>
      </c>
      <c r="K33" s="3">
        <v>35</v>
      </c>
      <c r="L33" s="4">
        <v>2</v>
      </c>
    </row>
    <row r="34" spans="1:12" x14ac:dyDescent="0.2">
      <c r="A34" s="2" t="s">
        <v>46</v>
      </c>
      <c r="B34" s="3">
        <v>671</v>
      </c>
      <c r="C34" s="3">
        <v>75</v>
      </c>
      <c r="D34" s="3">
        <v>0.68</v>
      </c>
      <c r="E34" s="3">
        <v>0.61</v>
      </c>
      <c r="F34" s="3">
        <v>0.74</v>
      </c>
      <c r="G34" s="1">
        <f t="shared" si="4"/>
        <v>2.235941470853137E-2</v>
      </c>
      <c r="H34" s="3">
        <f t="shared" si="5"/>
        <v>0.14953064805761851</v>
      </c>
      <c r="I34" s="1">
        <f t="shared" si="3"/>
        <v>0.75377180237638042</v>
      </c>
      <c r="J34" s="4">
        <v>2</v>
      </c>
      <c r="K34" s="4">
        <v>68</v>
      </c>
      <c r="L34" s="4">
        <v>2</v>
      </c>
    </row>
    <row r="35" spans="1:12" x14ac:dyDescent="0.2">
      <c r="A35" s="2" t="s">
        <v>46</v>
      </c>
      <c r="B35" s="3">
        <v>320</v>
      </c>
      <c r="C35" s="3">
        <v>35</v>
      </c>
      <c r="D35" s="3">
        <v>0.74</v>
      </c>
      <c r="E35" s="3">
        <v>0.64</v>
      </c>
      <c r="F35" s="3">
        <v>0.82</v>
      </c>
      <c r="G35" s="1">
        <f t="shared" si="4"/>
        <v>5.2850532497926837E-2</v>
      </c>
      <c r="H35" s="3">
        <f t="shared" si="5"/>
        <v>0.22989243680018454</v>
      </c>
      <c r="I35" s="1">
        <f t="shared" si="3"/>
        <v>1.0459685551826876</v>
      </c>
      <c r="J35" s="4">
        <v>2</v>
      </c>
      <c r="K35" s="4">
        <v>4</v>
      </c>
      <c r="L35" s="4">
        <v>2</v>
      </c>
    </row>
    <row r="36" spans="1:12" x14ac:dyDescent="0.2">
      <c r="A36" s="2" t="s">
        <v>54</v>
      </c>
      <c r="B36" s="3">
        <v>344</v>
      </c>
      <c r="C36" s="3">
        <v>73</v>
      </c>
      <c r="D36" s="3">
        <v>0.71</v>
      </c>
      <c r="E36" s="3">
        <v>0.64</v>
      </c>
      <c r="F36" s="3">
        <v>0.77</v>
      </c>
      <c r="G36" s="1">
        <f t="shared" si="4"/>
        <v>2.7113477114285005E-2</v>
      </c>
      <c r="H36" s="3">
        <f t="shared" si="5"/>
        <v>0.16466170506309294</v>
      </c>
      <c r="I36" s="1">
        <f t="shared" si="3"/>
        <v>0.8953840470548412</v>
      </c>
      <c r="J36" s="4">
        <v>2</v>
      </c>
      <c r="K36" s="4">
        <v>25</v>
      </c>
      <c r="L36" s="4">
        <v>2</v>
      </c>
    </row>
    <row r="37" spans="1:12" x14ac:dyDescent="0.2">
      <c r="A37" s="2" t="s">
        <v>54</v>
      </c>
      <c r="B37" s="3">
        <v>344</v>
      </c>
      <c r="C37" s="3">
        <v>73</v>
      </c>
      <c r="D37" s="3">
        <v>0.65</v>
      </c>
      <c r="E37" s="3">
        <v>0.57999999999999996</v>
      </c>
      <c r="F37" s="3">
        <v>0.72</v>
      </c>
      <c r="G37" s="1">
        <f t="shared" si="4"/>
        <v>2.5040251497310591E-2</v>
      </c>
      <c r="H37" s="3">
        <f t="shared" si="5"/>
        <v>0.15824111822567039</v>
      </c>
      <c r="I37" s="1">
        <f t="shared" si="3"/>
        <v>0.61903920840622362</v>
      </c>
      <c r="J37" s="4">
        <v>2</v>
      </c>
      <c r="K37" s="4">
        <v>60</v>
      </c>
      <c r="L37" s="4">
        <v>2</v>
      </c>
    </row>
    <row r="38" spans="1:12" x14ac:dyDescent="0.2">
      <c r="A38" s="2" t="s">
        <v>54</v>
      </c>
      <c r="B38" s="3">
        <v>344</v>
      </c>
      <c r="C38" s="3">
        <v>73</v>
      </c>
      <c r="D38" s="3">
        <v>0.65</v>
      </c>
      <c r="E38" s="3">
        <v>0.57999999999999996</v>
      </c>
      <c r="F38" s="3">
        <v>0.72</v>
      </c>
      <c r="G38" s="1">
        <f t="shared" si="4"/>
        <v>2.5040251497310591E-2</v>
      </c>
      <c r="H38" s="3">
        <f t="shared" si="5"/>
        <v>0.15824111822567039</v>
      </c>
      <c r="I38" s="1">
        <f t="shared" si="3"/>
        <v>0.61903920840622362</v>
      </c>
      <c r="J38" s="4">
        <v>2</v>
      </c>
      <c r="K38" s="4">
        <v>64</v>
      </c>
      <c r="L38" s="4">
        <v>2</v>
      </c>
    </row>
    <row r="39" spans="1:12" x14ac:dyDescent="0.2">
      <c r="A39" s="2" t="s">
        <v>50</v>
      </c>
      <c r="B39" s="3">
        <v>133</v>
      </c>
      <c r="C39" s="3">
        <v>38</v>
      </c>
      <c r="D39" s="3">
        <v>0.8</v>
      </c>
      <c r="E39" s="3">
        <v>0.73</v>
      </c>
      <c r="F39" s="3">
        <v>0.87</v>
      </c>
      <c r="G39" s="1">
        <f t="shared" si="4"/>
        <v>7.1031471221914444E-2</v>
      </c>
      <c r="H39" s="3">
        <f t="shared" si="5"/>
        <v>0.26651730004244462</v>
      </c>
      <c r="I39" s="1">
        <f t="shared" si="3"/>
        <v>1.3862943611198908</v>
      </c>
      <c r="J39" s="4">
        <v>1</v>
      </c>
      <c r="K39" s="4">
        <v>5</v>
      </c>
      <c r="L39" s="4">
        <v>2</v>
      </c>
    </row>
    <row r="40" spans="1:12" x14ac:dyDescent="0.2">
      <c r="A40" s="2" t="s">
        <v>23</v>
      </c>
      <c r="B40" s="3">
        <v>96</v>
      </c>
      <c r="C40" s="3">
        <v>4</v>
      </c>
      <c r="D40" s="3">
        <v>0.39</v>
      </c>
      <c r="E40" s="3">
        <v>0.17</v>
      </c>
      <c r="F40" s="3">
        <v>0.6</v>
      </c>
      <c r="G40" s="1">
        <f t="shared" si="4"/>
        <v>0.36545433521416215</v>
      </c>
      <c r="H40" s="3">
        <f t="shared" si="5"/>
        <v>0.6045281922409923</v>
      </c>
      <c r="I40" s="1">
        <f t="shared" si="3"/>
        <v>-0.44731221804366483</v>
      </c>
      <c r="J40" s="4">
        <v>1</v>
      </c>
      <c r="K40" s="4">
        <v>25</v>
      </c>
      <c r="L40" s="4">
        <v>2</v>
      </c>
    </row>
    <row r="41" spans="1:12" x14ac:dyDescent="0.2">
      <c r="A41" s="2" t="s">
        <v>23</v>
      </c>
      <c r="B41" s="3">
        <v>96</v>
      </c>
      <c r="C41" s="3">
        <v>4</v>
      </c>
      <c r="D41" s="3">
        <v>0.54</v>
      </c>
      <c r="E41" s="3">
        <v>0.08</v>
      </c>
      <c r="F41" s="3">
        <v>0.99</v>
      </c>
      <c r="G41" s="1">
        <f t="shared" si="4"/>
        <v>0.35322519186491008</v>
      </c>
      <c r="H41" s="3">
        <f t="shared" si="5"/>
        <v>0.59432751229007574</v>
      </c>
      <c r="I41" s="1">
        <f t="shared" si="3"/>
        <v>0.16034265007517945</v>
      </c>
      <c r="J41" s="4">
        <v>1</v>
      </c>
      <c r="K41" s="4">
        <v>80</v>
      </c>
      <c r="L41" s="4">
        <v>2</v>
      </c>
    </row>
    <row r="42" spans="1:12" x14ac:dyDescent="0.2">
      <c r="A42" s="2" t="s">
        <v>23</v>
      </c>
      <c r="B42" s="3">
        <v>96</v>
      </c>
      <c r="C42" s="3">
        <v>4</v>
      </c>
      <c r="D42" s="3">
        <v>0.59</v>
      </c>
      <c r="E42" s="3">
        <v>0.37</v>
      </c>
      <c r="F42" s="3">
        <v>1.1499999999999999</v>
      </c>
      <c r="G42" s="1">
        <f t="shared" si="4"/>
        <v>0.36067408198449002</v>
      </c>
      <c r="H42" s="3">
        <f t="shared" si="5"/>
        <v>0.60056147227780943</v>
      </c>
      <c r="I42" s="1">
        <f t="shared" si="3"/>
        <v>0.36396537720141153</v>
      </c>
      <c r="J42" s="4">
        <v>1</v>
      </c>
      <c r="K42" s="4">
        <v>6</v>
      </c>
      <c r="L42" s="4">
        <v>2</v>
      </c>
    </row>
    <row r="43" spans="1:12" x14ac:dyDescent="0.2">
      <c r="A43" s="2" t="s">
        <v>14</v>
      </c>
      <c r="B43" s="3">
        <v>105</v>
      </c>
      <c r="C43" s="3">
        <v>26</v>
      </c>
      <c r="D43" s="3">
        <v>0.63</v>
      </c>
      <c r="E43" s="3">
        <v>0.5</v>
      </c>
      <c r="F43" s="3">
        <v>0.76</v>
      </c>
      <c r="G43" s="1">
        <f t="shared" si="4"/>
        <v>7.2712162223875804E-2</v>
      </c>
      <c r="H43" s="3">
        <f t="shared" si="5"/>
        <v>0.26965192790684028</v>
      </c>
      <c r="I43" s="1">
        <f t="shared" si="3"/>
        <v>0.53221681374730823</v>
      </c>
      <c r="J43" s="4">
        <v>1</v>
      </c>
      <c r="K43" s="3">
        <v>69</v>
      </c>
      <c r="L43" s="4">
        <v>2</v>
      </c>
    </row>
    <row r="44" spans="1:12" x14ac:dyDescent="0.2">
      <c r="A44" s="5" t="s">
        <v>41</v>
      </c>
      <c r="B44" s="3">
        <v>162</v>
      </c>
      <c r="C44" s="3"/>
      <c r="D44" s="3">
        <v>0.59</v>
      </c>
      <c r="E44" s="3">
        <v>0.49</v>
      </c>
      <c r="F44" s="3">
        <v>0.69</v>
      </c>
      <c r="G44" s="1"/>
      <c r="H44" s="3"/>
      <c r="I44" s="1">
        <f t="shared" si="3"/>
        <v>0.36396537720141153</v>
      </c>
      <c r="J44" s="4">
        <v>1</v>
      </c>
      <c r="K44" s="4">
        <v>13</v>
      </c>
      <c r="L44" s="4">
        <v>2</v>
      </c>
    </row>
    <row r="45" spans="1:12" x14ac:dyDescent="0.2">
      <c r="A45" s="2" t="s">
        <v>15</v>
      </c>
      <c r="B45" s="3">
        <v>150</v>
      </c>
      <c r="C45" s="3">
        <v>17</v>
      </c>
      <c r="D45" s="3">
        <v>0.72</v>
      </c>
      <c r="E45" s="3">
        <v>0.57999999999999996</v>
      </c>
      <c r="F45" s="3">
        <v>0.83</v>
      </c>
      <c r="G45" s="1">
        <f t="shared" ref="G45:G52" si="6">(1+(B45/2-1)*(1-D45)/(2-D45)+(B45/2-1)*D45/(1+D45))/(D45*(1-D45)*C45*(B45-C45))</f>
        <v>0.10566560875676261</v>
      </c>
      <c r="H45" s="3">
        <f t="shared" ref="H45:H52" si="7">SQRT(G45)</f>
        <v>0.3250624690067474</v>
      </c>
      <c r="I45" s="1">
        <f t="shared" si="3"/>
        <v>0.94446160884085129</v>
      </c>
      <c r="J45" s="4">
        <v>2</v>
      </c>
      <c r="K45" s="4">
        <v>70</v>
      </c>
      <c r="L45" s="4">
        <v>2</v>
      </c>
    </row>
    <row r="46" spans="1:12" x14ac:dyDescent="0.2">
      <c r="A46" s="2" t="s">
        <v>16</v>
      </c>
      <c r="B46" s="3">
        <v>99</v>
      </c>
      <c r="C46" s="3">
        <v>20</v>
      </c>
      <c r="D46" s="3">
        <v>0.74</v>
      </c>
      <c r="E46" s="3">
        <v>0.62</v>
      </c>
      <c r="F46" s="3">
        <v>0.86</v>
      </c>
      <c r="G46" s="1">
        <f t="shared" si="6"/>
        <v>0.10406317695710975</v>
      </c>
      <c r="H46" s="3">
        <f t="shared" si="7"/>
        <v>0.32258824677459924</v>
      </c>
      <c r="I46" s="1">
        <f t="shared" si="3"/>
        <v>1.0459685551826876</v>
      </c>
      <c r="J46" s="4">
        <v>1</v>
      </c>
      <c r="K46" s="4">
        <v>14</v>
      </c>
      <c r="L46" s="4">
        <v>2</v>
      </c>
    </row>
    <row r="47" spans="1:12" x14ac:dyDescent="0.2">
      <c r="A47" s="2" t="s">
        <v>16</v>
      </c>
      <c r="B47" s="3">
        <v>99</v>
      </c>
      <c r="C47" s="3">
        <v>20</v>
      </c>
      <c r="D47" s="3">
        <v>0.74</v>
      </c>
      <c r="E47" s="3">
        <v>0.62</v>
      </c>
      <c r="F47" s="3">
        <v>0.86</v>
      </c>
      <c r="G47" s="1">
        <f t="shared" si="6"/>
        <v>0.10406317695710975</v>
      </c>
      <c r="H47" s="3">
        <f t="shared" si="7"/>
        <v>0.32258824677459924</v>
      </c>
      <c r="I47" s="1">
        <f t="shared" si="3"/>
        <v>1.0459685551826876</v>
      </c>
      <c r="J47" s="4">
        <v>1</v>
      </c>
      <c r="K47" s="3">
        <v>50</v>
      </c>
      <c r="L47" s="4">
        <v>2</v>
      </c>
    </row>
    <row r="48" spans="1:12" x14ac:dyDescent="0.2">
      <c r="A48" s="2" t="s">
        <v>16</v>
      </c>
      <c r="B48" s="3">
        <v>99</v>
      </c>
      <c r="C48" s="3">
        <v>20</v>
      </c>
      <c r="D48" s="3">
        <v>0.71</v>
      </c>
      <c r="E48" s="3">
        <v>0.6</v>
      </c>
      <c r="F48" s="3">
        <v>0.83</v>
      </c>
      <c r="G48" s="1">
        <f t="shared" si="6"/>
        <v>9.8488659469014056E-2</v>
      </c>
      <c r="H48" s="3">
        <f t="shared" si="7"/>
        <v>0.31382902904131421</v>
      </c>
      <c r="I48" s="1">
        <f t="shared" si="3"/>
        <v>0.8953840470548412</v>
      </c>
      <c r="J48" s="4">
        <v>1</v>
      </c>
      <c r="K48" s="3">
        <v>71</v>
      </c>
      <c r="L48" s="4">
        <v>2</v>
      </c>
    </row>
    <row r="49" spans="1:12" x14ac:dyDescent="0.2">
      <c r="A49" s="2" t="s">
        <v>18</v>
      </c>
      <c r="B49" s="3">
        <v>81</v>
      </c>
      <c r="C49" s="3">
        <v>18</v>
      </c>
      <c r="D49" s="3">
        <v>0.66</v>
      </c>
      <c r="E49" s="3">
        <v>0.52</v>
      </c>
      <c r="F49" s="3">
        <v>0.8</v>
      </c>
      <c r="G49" s="1">
        <f t="shared" si="6"/>
        <v>0.10503104235951927</v>
      </c>
      <c r="H49" s="3">
        <f t="shared" si="7"/>
        <v>0.32408493078129885</v>
      </c>
      <c r="I49" s="1">
        <f t="shared" si="3"/>
        <v>0.66329421741026429</v>
      </c>
      <c r="J49" s="4">
        <v>1</v>
      </c>
      <c r="K49" s="3">
        <v>73</v>
      </c>
      <c r="L49" s="4">
        <v>2</v>
      </c>
    </row>
    <row r="50" spans="1:12" x14ac:dyDescent="0.2">
      <c r="A50" s="2" t="s">
        <v>20</v>
      </c>
      <c r="B50" s="3">
        <v>116</v>
      </c>
      <c r="C50" s="3">
        <v>29</v>
      </c>
      <c r="D50" s="3">
        <v>0.68</v>
      </c>
      <c r="E50" s="3">
        <v>0.56000000000000005</v>
      </c>
      <c r="F50" s="3">
        <v>0.79</v>
      </c>
      <c r="G50" s="1">
        <f t="shared" si="6"/>
        <v>6.9015080359243475E-2</v>
      </c>
      <c r="H50" s="3">
        <f t="shared" si="7"/>
        <v>0.26270721413627657</v>
      </c>
      <c r="I50" s="1">
        <f t="shared" si="3"/>
        <v>0.75377180237638042</v>
      </c>
      <c r="J50" s="4">
        <v>1</v>
      </c>
      <c r="K50" s="3">
        <v>75</v>
      </c>
      <c r="L50" s="4">
        <v>2</v>
      </c>
    </row>
    <row r="51" spans="1:12" x14ac:dyDescent="0.2">
      <c r="A51" s="5" t="s">
        <v>42</v>
      </c>
      <c r="B51" s="3">
        <v>71</v>
      </c>
      <c r="C51" s="3">
        <v>9</v>
      </c>
      <c r="D51" s="3">
        <v>0.71</v>
      </c>
      <c r="E51" s="3">
        <v>0.49</v>
      </c>
      <c r="F51" s="3">
        <v>0.93</v>
      </c>
      <c r="G51" s="1">
        <f t="shared" si="6"/>
        <v>0.20088722608668944</v>
      </c>
      <c r="H51" s="3">
        <f t="shared" si="7"/>
        <v>0.44820444675024079</v>
      </c>
      <c r="I51" s="1">
        <f t="shared" si="3"/>
        <v>0.8953840470548412</v>
      </c>
      <c r="J51" s="4">
        <v>1</v>
      </c>
      <c r="K51" s="4">
        <v>17</v>
      </c>
      <c r="L51" s="4">
        <v>2</v>
      </c>
    </row>
    <row r="52" spans="1:12" x14ac:dyDescent="0.2">
      <c r="A52" s="2" t="s">
        <v>24</v>
      </c>
      <c r="B52" s="3">
        <v>106</v>
      </c>
      <c r="C52" s="3">
        <v>30</v>
      </c>
      <c r="D52" s="3">
        <v>0.76</v>
      </c>
      <c r="E52" s="3">
        <v>0.66</v>
      </c>
      <c r="F52" s="3">
        <v>0.83</v>
      </c>
      <c r="G52" s="1">
        <f t="shared" si="6"/>
        <v>8.0599467104247743E-2</v>
      </c>
      <c r="H52" s="3">
        <f t="shared" si="7"/>
        <v>0.28390045280740173</v>
      </c>
      <c r="I52" s="1">
        <f t="shared" ref="I52:I83" si="8">LN(D52)-LN(1-D52)</f>
        <v>1.1526795099383855</v>
      </c>
      <c r="J52" s="4">
        <v>1</v>
      </c>
      <c r="K52" s="4">
        <v>81</v>
      </c>
      <c r="L52" s="4">
        <v>2</v>
      </c>
    </row>
    <row r="53" spans="1:12" x14ac:dyDescent="0.2">
      <c r="A53" s="2" t="s">
        <v>43</v>
      </c>
      <c r="B53" s="3">
        <v>58</v>
      </c>
      <c r="C53" s="3"/>
      <c r="D53" s="3">
        <v>0.75</v>
      </c>
      <c r="E53" s="3">
        <v>0.62</v>
      </c>
      <c r="F53" s="3">
        <v>0.86</v>
      </c>
      <c r="G53" s="1"/>
      <c r="H53" s="3"/>
      <c r="I53" s="1">
        <f t="shared" si="8"/>
        <v>1.0986122886681096</v>
      </c>
      <c r="J53" s="4">
        <v>1</v>
      </c>
      <c r="K53" s="4">
        <v>18</v>
      </c>
      <c r="L53" s="4">
        <v>2</v>
      </c>
    </row>
    <row r="54" spans="1:12" x14ac:dyDescent="0.2">
      <c r="A54" s="2" t="s">
        <v>51</v>
      </c>
      <c r="B54" s="3">
        <v>191</v>
      </c>
      <c r="C54" s="3">
        <v>9</v>
      </c>
      <c r="D54" s="3">
        <v>0.56999999999999995</v>
      </c>
      <c r="E54" s="3">
        <v>0.39</v>
      </c>
      <c r="F54" s="3">
        <v>0.74</v>
      </c>
      <c r="G54" s="1">
        <f t="shared" ref="G54:G100" si="9">(1+(B54/2-1)*(1-D54)/(2-D54)+(B54/2-1)*D54/(1+D54))/(D54*(1-D54)*C54*(B54-C54))</f>
        <v>0.15872767068121543</v>
      </c>
      <c r="H54" s="3">
        <f t="shared" ref="H54:H100" si="10">SQRT(G54)</f>
        <v>0.39840641395591941</v>
      </c>
      <c r="I54" s="1">
        <f t="shared" si="8"/>
        <v>0.28185115214098755</v>
      </c>
      <c r="J54" s="4">
        <v>1</v>
      </c>
      <c r="K54" s="4">
        <v>10</v>
      </c>
      <c r="L54" s="4">
        <v>2</v>
      </c>
    </row>
    <row r="55" spans="1:12" x14ac:dyDescent="0.2">
      <c r="A55" s="2" t="s">
        <v>21</v>
      </c>
      <c r="B55" s="3">
        <v>66</v>
      </c>
      <c r="C55" s="3">
        <v>5</v>
      </c>
      <c r="D55" s="3">
        <v>0.6</v>
      </c>
      <c r="E55" s="3">
        <v>0.33</v>
      </c>
      <c r="F55" s="3">
        <v>0.87</v>
      </c>
      <c r="G55" s="1">
        <f t="shared" si="9"/>
        <v>0.30249804839968775</v>
      </c>
      <c r="H55" s="3">
        <f t="shared" si="10"/>
        <v>0.54999822581503632</v>
      </c>
      <c r="I55" s="1">
        <f t="shared" si="8"/>
        <v>0.40546510810816427</v>
      </c>
      <c r="J55" s="4">
        <v>1</v>
      </c>
      <c r="K55" s="4">
        <v>76</v>
      </c>
      <c r="L55" s="4">
        <v>2</v>
      </c>
    </row>
    <row r="56" spans="1:12" x14ac:dyDescent="0.2">
      <c r="A56" s="6" t="s">
        <v>28</v>
      </c>
      <c r="B56" s="3">
        <v>2248</v>
      </c>
      <c r="C56" s="3">
        <v>244</v>
      </c>
      <c r="D56" s="3">
        <v>0.77</v>
      </c>
      <c r="E56" s="3">
        <v>0.74</v>
      </c>
      <c r="F56" s="3">
        <v>0.8</v>
      </c>
      <c r="G56" s="1">
        <f t="shared" si="9"/>
        <v>8.0779166214522882E-3</v>
      </c>
      <c r="H56" s="3">
        <f t="shared" si="10"/>
        <v>8.9877230828793828E-2</v>
      </c>
      <c r="I56" s="1">
        <f t="shared" si="8"/>
        <v>1.2083112059245342</v>
      </c>
      <c r="J56" s="4">
        <v>2</v>
      </c>
      <c r="K56" s="4">
        <v>86</v>
      </c>
      <c r="L56" s="4">
        <v>2</v>
      </c>
    </row>
    <row r="57" spans="1:12" x14ac:dyDescent="0.2">
      <c r="A57" s="2" t="s">
        <v>38</v>
      </c>
      <c r="B57" s="3">
        <v>304</v>
      </c>
      <c r="C57" s="3">
        <v>139</v>
      </c>
      <c r="D57" s="3">
        <v>0.7</v>
      </c>
      <c r="E57" s="3">
        <v>0.64</v>
      </c>
      <c r="F57" s="3">
        <v>0.76</v>
      </c>
      <c r="G57" s="1">
        <f t="shared" si="9"/>
        <v>2.035205590008806E-2</v>
      </c>
      <c r="H57" s="3">
        <f t="shared" si="10"/>
        <v>0.14266063192096151</v>
      </c>
      <c r="I57" s="1">
        <f t="shared" si="8"/>
        <v>0.84729786038720345</v>
      </c>
      <c r="J57" s="4">
        <v>1</v>
      </c>
      <c r="K57" s="4">
        <v>0</v>
      </c>
      <c r="L57" s="4">
        <v>1</v>
      </c>
    </row>
    <row r="58" spans="1:12" x14ac:dyDescent="0.2">
      <c r="A58" s="2" t="s">
        <v>38</v>
      </c>
      <c r="B58" s="3">
        <v>304</v>
      </c>
      <c r="C58" s="3">
        <v>139</v>
      </c>
      <c r="D58" s="3">
        <v>0.67</v>
      </c>
      <c r="E58" s="3">
        <v>0.61</v>
      </c>
      <c r="F58" s="3">
        <v>0.73</v>
      </c>
      <c r="G58" s="1">
        <f t="shared" si="9"/>
        <v>1.9532321099949866E-2</v>
      </c>
      <c r="H58" s="3">
        <f t="shared" si="10"/>
        <v>0.13975808062487788</v>
      </c>
      <c r="I58" s="1">
        <f t="shared" si="8"/>
        <v>0.70818505792448616</v>
      </c>
      <c r="J58" s="4">
        <v>1</v>
      </c>
      <c r="K58" s="4">
        <v>22</v>
      </c>
      <c r="L58" s="4">
        <v>1</v>
      </c>
    </row>
    <row r="59" spans="1:12" x14ac:dyDescent="0.2">
      <c r="A59" s="2" t="s">
        <v>38</v>
      </c>
      <c r="B59" s="3">
        <v>304</v>
      </c>
      <c r="C59" s="3">
        <v>139</v>
      </c>
      <c r="D59" s="3">
        <v>0.69</v>
      </c>
      <c r="E59" s="3">
        <v>0.63</v>
      </c>
      <c r="F59" s="3">
        <v>0.75</v>
      </c>
      <c r="G59" s="1">
        <f t="shared" si="9"/>
        <v>2.0054584816440187E-2</v>
      </c>
      <c r="H59" s="3">
        <f t="shared" si="10"/>
        <v>0.1416142112093281</v>
      </c>
      <c r="I59" s="1">
        <f t="shared" si="8"/>
        <v>0.80011930011211274</v>
      </c>
      <c r="J59" s="4">
        <v>1</v>
      </c>
      <c r="K59" s="4">
        <v>32</v>
      </c>
      <c r="L59" s="4">
        <v>1</v>
      </c>
    </row>
    <row r="60" spans="1:12" x14ac:dyDescent="0.2">
      <c r="A60" s="2" t="s">
        <v>35</v>
      </c>
      <c r="B60" s="3">
        <v>100</v>
      </c>
      <c r="C60" s="3">
        <v>50</v>
      </c>
      <c r="D60" s="3">
        <v>0.7</v>
      </c>
      <c r="E60" s="3">
        <v>0.59</v>
      </c>
      <c r="F60" s="3">
        <v>0.8</v>
      </c>
      <c r="G60" s="1">
        <f t="shared" si="9"/>
        <v>6.1874595992243042E-2</v>
      </c>
      <c r="H60" s="3">
        <f t="shared" si="10"/>
        <v>0.24874604718918258</v>
      </c>
      <c r="I60" s="1">
        <f t="shared" si="8"/>
        <v>0.84729786038720345</v>
      </c>
      <c r="J60" s="4">
        <v>1</v>
      </c>
      <c r="K60" s="3">
        <v>57</v>
      </c>
      <c r="L60" s="4">
        <v>1</v>
      </c>
    </row>
    <row r="61" spans="1:12" x14ac:dyDescent="0.2">
      <c r="A61" s="2" t="s">
        <v>48</v>
      </c>
      <c r="B61" s="3">
        <v>122</v>
      </c>
      <c r="C61" s="3">
        <v>56</v>
      </c>
      <c r="D61" s="3">
        <v>0.66</v>
      </c>
      <c r="E61" s="3">
        <v>0.56000000000000005</v>
      </c>
      <c r="F61" s="3">
        <v>0.75</v>
      </c>
      <c r="G61" s="1">
        <f t="shared" si="9"/>
        <v>4.8324273922091807E-2</v>
      </c>
      <c r="H61" s="3">
        <f t="shared" si="10"/>
        <v>0.2198278279065046</v>
      </c>
      <c r="I61" s="1">
        <f t="shared" si="8"/>
        <v>0.66329421741026429</v>
      </c>
      <c r="J61" s="4">
        <v>2</v>
      </c>
      <c r="K61" s="4">
        <v>13</v>
      </c>
      <c r="L61" s="4">
        <v>1</v>
      </c>
    </row>
    <row r="62" spans="1:12" x14ac:dyDescent="0.2">
      <c r="A62" s="2" t="s">
        <v>48</v>
      </c>
      <c r="B62" s="3">
        <v>122</v>
      </c>
      <c r="C62" s="3">
        <v>56</v>
      </c>
      <c r="D62" s="3">
        <v>0.54</v>
      </c>
      <c r="E62" s="3">
        <v>0.44</v>
      </c>
      <c r="F62" s="3">
        <v>0.64</v>
      </c>
      <c r="G62" s="1">
        <f t="shared" si="9"/>
        <v>4.4596097521978469E-2</v>
      </c>
      <c r="H62" s="3">
        <f t="shared" si="10"/>
        <v>0.2111778812328092</v>
      </c>
      <c r="I62" s="1">
        <f t="shared" si="8"/>
        <v>0.16034265007517945</v>
      </c>
      <c r="J62" s="4">
        <v>2</v>
      </c>
      <c r="K62" s="4">
        <v>23</v>
      </c>
      <c r="L62" s="4">
        <v>1</v>
      </c>
    </row>
    <row r="63" spans="1:12" x14ac:dyDescent="0.2">
      <c r="A63" s="2" t="s">
        <v>27</v>
      </c>
      <c r="B63" s="3">
        <v>71</v>
      </c>
      <c r="C63" s="3">
        <v>24</v>
      </c>
      <c r="D63" s="3">
        <v>0.59</v>
      </c>
      <c r="E63" s="3">
        <v>0.32</v>
      </c>
      <c r="F63" s="3">
        <v>0.87</v>
      </c>
      <c r="G63" s="1">
        <f t="shared" si="9"/>
        <v>8.7347072401371281E-2</v>
      </c>
      <c r="H63" s="3">
        <f t="shared" si="10"/>
        <v>0.29554538128918761</v>
      </c>
      <c r="I63" s="1">
        <f t="shared" si="8"/>
        <v>0.36396537720141153</v>
      </c>
      <c r="J63" s="4">
        <v>1</v>
      </c>
      <c r="K63" s="4">
        <v>9</v>
      </c>
      <c r="L63" s="4">
        <v>1</v>
      </c>
    </row>
    <row r="64" spans="1:12" x14ac:dyDescent="0.2">
      <c r="A64" s="2" t="s">
        <v>27</v>
      </c>
      <c r="B64" s="3">
        <v>71</v>
      </c>
      <c r="C64" s="3">
        <v>24</v>
      </c>
      <c r="D64" s="3">
        <v>0.67</v>
      </c>
      <c r="E64" s="3">
        <v>0.52</v>
      </c>
      <c r="F64" s="3">
        <v>0.82</v>
      </c>
      <c r="G64" s="1">
        <f t="shared" si="9"/>
        <v>9.3830764541289802E-2</v>
      </c>
      <c r="H64" s="3">
        <f t="shared" si="10"/>
        <v>0.30631807739878786</v>
      </c>
      <c r="I64" s="1">
        <f t="shared" si="8"/>
        <v>0.70818505792448616</v>
      </c>
      <c r="J64" s="4">
        <v>1</v>
      </c>
      <c r="K64" s="3">
        <v>59</v>
      </c>
      <c r="L64" s="4">
        <v>1</v>
      </c>
    </row>
    <row r="65" spans="1:12" x14ac:dyDescent="0.2">
      <c r="A65" s="6" t="s">
        <v>27</v>
      </c>
      <c r="B65" s="3">
        <v>71</v>
      </c>
      <c r="C65" s="3">
        <v>24</v>
      </c>
      <c r="D65" s="3">
        <v>0.59</v>
      </c>
      <c r="E65" s="3">
        <v>0.4</v>
      </c>
      <c r="F65" s="3">
        <v>0.77</v>
      </c>
      <c r="G65" s="1">
        <f t="shared" si="9"/>
        <v>8.7347072401371281E-2</v>
      </c>
      <c r="H65" s="3">
        <f t="shared" si="10"/>
        <v>0.29554538128918761</v>
      </c>
      <c r="I65" s="1">
        <f t="shared" si="8"/>
        <v>0.36396537720141153</v>
      </c>
      <c r="J65" s="4">
        <v>1</v>
      </c>
      <c r="K65" s="4">
        <v>89</v>
      </c>
      <c r="L65" s="4">
        <v>1</v>
      </c>
    </row>
    <row r="66" spans="1:12" x14ac:dyDescent="0.2">
      <c r="A66" s="2" t="s">
        <v>27</v>
      </c>
      <c r="B66" s="3">
        <v>71</v>
      </c>
      <c r="C66" s="3">
        <v>24</v>
      </c>
      <c r="D66" s="3">
        <v>0.74</v>
      </c>
      <c r="E66" s="3">
        <v>0.56999999999999995</v>
      </c>
      <c r="F66" s="3">
        <v>0.84</v>
      </c>
      <c r="G66" s="1">
        <f t="shared" si="9"/>
        <v>0.10501661272020772</v>
      </c>
      <c r="H66" s="3">
        <f t="shared" si="10"/>
        <v>0.32406266789034449</v>
      </c>
      <c r="I66" s="1">
        <f t="shared" si="8"/>
        <v>1.0459685551826876</v>
      </c>
      <c r="J66" s="4">
        <v>1</v>
      </c>
      <c r="K66" s="4">
        <v>35</v>
      </c>
      <c r="L66" s="4">
        <v>1</v>
      </c>
    </row>
    <row r="67" spans="1:12" x14ac:dyDescent="0.2">
      <c r="A67" s="2" t="s">
        <v>27</v>
      </c>
      <c r="B67" s="3">
        <v>71</v>
      </c>
      <c r="C67" s="3">
        <v>24</v>
      </c>
      <c r="D67" s="3">
        <v>0.41</v>
      </c>
      <c r="E67" s="3">
        <v>0.25</v>
      </c>
      <c r="F67" s="3">
        <v>0.56000000000000005</v>
      </c>
      <c r="G67" s="1">
        <f t="shared" si="9"/>
        <v>8.7347072401371267E-2</v>
      </c>
      <c r="H67" s="3">
        <f t="shared" si="10"/>
        <v>0.29554538128918756</v>
      </c>
      <c r="I67" s="1">
        <f t="shared" si="8"/>
        <v>-0.36396537720141187</v>
      </c>
      <c r="J67" s="4">
        <v>1</v>
      </c>
      <c r="K67" s="4">
        <v>41</v>
      </c>
      <c r="L67" s="4">
        <v>1</v>
      </c>
    </row>
    <row r="68" spans="1:12" x14ac:dyDescent="0.2">
      <c r="A68" s="2" t="s">
        <v>27</v>
      </c>
      <c r="B68" s="3">
        <v>71</v>
      </c>
      <c r="C68" s="3">
        <v>24</v>
      </c>
      <c r="D68" s="3">
        <v>0.48</v>
      </c>
      <c r="E68" s="3">
        <v>0.34</v>
      </c>
      <c r="F68" s="3">
        <v>0.7</v>
      </c>
      <c r="G68" s="1">
        <f t="shared" si="9"/>
        <v>8.5213720563314624E-2</v>
      </c>
      <c r="H68" s="3">
        <f t="shared" si="10"/>
        <v>0.29191389237806858</v>
      </c>
      <c r="I68" s="1">
        <f t="shared" si="8"/>
        <v>-8.0042707673536495E-2</v>
      </c>
      <c r="J68" s="4">
        <v>1</v>
      </c>
      <c r="K68" s="4">
        <v>55</v>
      </c>
      <c r="L68" s="4">
        <v>1</v>
      </c>
    </row>
    <row r="69" spans="1:12" x14ac:dyDescent="0.2">
      <c r="A69" s="2" t="s">
        <v>11</v>
      </c>
      <c r="B69" s="3">
        <v>188</v>
      </c>
      <c r="C69" s="3">
        <v>56</v>
      </c>
      <c r="D69" s="3">
        <v>0.64</v>
      </c>
      <c r="E69" s="3">
        <v>0.56000000000000005</v>
      </c>
      <c r="F69" s="3">
        <v>0.73</v>
      </c>
      <c r="G69" s="1">
        <f t="shared" si="9"/>
        <v>3.6351194460446164E-2</v>
      </c>
      <c r="H69" s="3">
        <f t="shared" si="10"/>
        <v>0.19065989211275183</v>
      </c>
      <c r="I69" s="1">
        <f t="shared" si="8"/>
        <v>0.57536414490356202</v>
      </c>
      <c r="J69" s="4">
        <v>1</v>
      </c>
      <c r="K69" s="4">
        <v>64</v>
      </c>
      <c r="L69" s="4">
        <v>1</v>
      </c>
    </row>
    <row r="70" spans="1:12" x14ac:dyDescent="0.2">
      <c r="A70" s="2" t="s">
        <v>11</v>
      </c>
      <c r="B70" s="3">
        <v>188</v>
      </c>
      <c r="C70" s="3">
        <v>56</v>
      </c>
      <c r="D70" s="3">
        <v>0.73</v>
      </c>
      <c r="E70" s="3">
        <v>0.66</v>
      </c>
      <c r="F70" s="3">
        <v>0.81</v>
      </c>
      <c r="G70" s="1">
        <f t="shared" si="9"/>
        <v>4.1191450895795505E-2</v>
      </c>
      <c r="H70" s="3">
        <f t="shared" si="10"/>
        <v>0.20295677100258444</v>
      </c>
      <c r="I70" s="1">
        <f t="shared" si="8"/>
        <v>0.99462257514406205</v>
      </c>
      <c r="J70" s="4">
        <v>1</v>
      </c>
      <c r="K70" s="4">
        <v>56</v>
      </c>
      <c r="L70" s="4">
        <v>1</v>
      </c>
    </row>
    <row r="71" spans="1:12" x14ac:dyDescent="0.2">
      <c r="A71" s="2" t="s">
        <v>45</v>
      </c>
      <c r="B71" s="3">
        <v>83</v>
      </c>
      <c r="C71" s="3">
        <v>37</v>
      </c>
      <c r="D71" s="3">
        <v>0.67</v>
      </c>
      <c r="E71" s="3">
        <v>0.55000000000000004</v>
      </c>
      <c r="F71" s="3">
        <v>0.79</v>
      </c>
      <c r="G71" s="1">
        <f t="shared" si="9"/>
        <v>7.2539171396683672E-2</v>
      </c>
      <c r="H71" s="3">
        <f t="shared" si="10"/>
        <v>0.26933096999172534</v>
      </c>
      <c r="I71" s="1">
        <f t="shared" si="8"/>
        <v>0.70818505792448616</v>
      </c>
      <c r="J71" s="4">
        <v>1</v>
      </c>
      <c r="K71" s="3">
        <v>65</v>
      </c>
      <c r="L71" s="4">
        <v>1</v>
      </c>
    </row>
    <row r="72" spans="1:12" x14ac:dyDescent="0.2">
      <c r="A72" s="2" t="s">
        <v>45</v>
      </c>
      <c r="B72" s="3">
        <v>83</v>
      </c>
      <c r="C72" s="3">
        <v>37</v>
      </c>
      <c r="D72" s="3">
        <v>0.6</v>
      </c>
      <c r="E72" s="3">
        <v>0.47</v>
      </c>
      <c r="F72" s="3">
        <v>0.72</v>
      </c>
      <c r="G72" s="1">
        <f t="shared" si="9"/>
        <v>6.7956640646858038E-2</v>
      </c>
      <c r="H72" s="3">
        <f t="shared" si="10"/>
        <v>0.26068494518644153</v>
      </c>
      <c r="I72" s="1">
        <f t="shared" si="8"/>
        <v>0.40546510810816427</v>
      </c>
      <c r="J72" s="4">
        <v>1</v>
      </c>
      <c r="K72" s="4">
        <v>14</v>
      </c>
      <c r="L72" s="4">
        <v>1</v>
      </c>
    </row>
    <row r="73" spans="1:12" x14ac:dyDescent="0.2">
      <c r="A73" s="2" t="s">
        <v>45</v>
      </c>
      <c r="B73" s="3">
        <v>83</v>
      </c>
      <c r="C73" s="3">
        <v>37</v>
      </c>
      <c r="D73" s="3">
        <v>0.74</v>
      </c>
      <c r="E73" s="3">
        <v>0.63</v>
      </c>
      <c r="F73" s="3">
        <v>0.85</v>
      </c>
      <c r="G73" s="1">
        <f t="shared" si="9"/>
        <v>8.1172940689128531E-2</v>
      </c>
      <c r="H73" s="3">
        <f t="shared" si="10"/>
        <v>0.28490865323666204</v>
      </c>
      <c r="I73" s="1">
        <f t="shared" si="8"/>
        <v>1.0459685551826876</v>
      </c>
      <c r="J73" s="4">
        <v>1</v>
      </c>
      <c r="K73" s="4">
        <v>57</v>
      </c>
      <c r="L73" s="4">
        <v>1</v>
      </c>
    </row>
    <row r="74" spans="1:12" x14ac:dyDescent="0.2">
      <c r="A74" s="5" t="s">
        <v>29</v>
      </c>
      <c r="B74" s="3">
        <v>236</v>
      </c>
      <c r="C74" s="3">
        <v>61</v>
      </c>
      <c r="D74" s="3">
        <v>0.66</v>
      </c>
      <c r="E74" s="3">
        <v>0.55000000000000004</v>
      </c>
      <c r="F74" s="3">
        <v>0.77</v>
      </c>
      <c r="G74" s="1">
        <f t="shared" si="9"/>
        <v>3.2229432826683585E-2</v>
      </c>
      <c r="H74" s="3">
        <f t="shared" si="10"/>
        <v>0.17952557708216282</v>
      </c>
      <c r="I74" s="1">
        <f t="shared" si="8"/>
        <v>0.66329421741026429</v>
      </c>
      <c r="J74" s="4">
        <v>1</v>
      </c>
      <c r="K74" s="3">
        <v>54</v>
      </c>
      <c r="L74" s="4">
        <v>1</v>
      </c>
    </row>
    <row r="75" spans="1:12" x14ac:dyDescent="0.2">
      <c r="A75" s="5" t="s">
        <v>29</v>
      </c>
      <c r="B75" s="3">
        <v>236</v>
      </c>
      <c r="C75" s="3">
        <v>61</v>
      </c>
      <c r="D75" s="3">
        <v>0.61</v>
      </c>
      <c r="E75" s="3">
        <v>0.52</v>
      </c>
      <c r="F75" s="3">
        <v>0.69</v>
      </c>
      <c r="G75" s="1">
        <f t="shared" si="9"/>
        <v>3.0775346213828554E-2</v>
      </c>
      <c r="H75" s="3">
        <f t="shared" si="10"/>
        <v>0.17542903469445573</v>
      </c>
      <c r="I75" s="1">
        <f t="shared" si="8"/>
        <v>0.44731221804366483</v>
      </c>
      <c r="J75" s="4">
        <v>1</v>
      </c>
      <c r="K75" s="4">
        <v>92</v>
      </c>
      <c r="L75" s="4">
        <v>1</v>
      </c>
    </row>
    <row r="76" spans="1:12" x14ac:dyDescent="0.2">
      <c r="A76" s="4" t="s">
        <v>49</v>
      </c>
      <c r="B76" s="3">
        <v>142</v>
      </c>
      <c r="C76" s="3">
        <v>81</v>
      </c>
      <c r="D76" s="3">
        <v>0.69</v>
      </c>
      <c r="E76" s="3">
        <v>0.6</v>
      </c>
      <c r="F76" s="3">
        <v>0.77</v>
      </c>
      <c r="G76" s="1">
        <f t="shared" si="9"/>
        <v>4.366131587230293E-2</v>
      </c>
      <c r="H76" s="3">
        <f t="shared" si="10"/>
        <v>0.20895290347899675</v>
      </c>
      <c r="I76" s="1">
        <f t="shared" si="8"/>
        <v>0.80011930011211274</v>
      </c>
      <c r="J76" s="4">
        <v>2</v>
      </c>
      <c r="K76" s="4">
        <v>26</v>
      </c>
      <c r="L76" s="4">
        <v>1</v>
      </c>
    </row>
    <row r="77" spans="1:12" x14ac:dyDescent="0.2">
      <c r="A77" s="5" t="s">
        <v>49</v>
      </c>
      <c r="B77" s="3">
        <v>142</v>
      </c>
      <c r="C77" s="3">
        <v>81</v>
      </c>
      <c r="D77" s="3">
        <v>0.67</v>
      </c>
      <c r="E77" s="3">
        <v>0.57999999999999996</v>
      </c>
      <c r="F77" s="3">
        <v>0.75</v>
      </c>
      <c r="G77" s="1">
        <f t="shared" si="9"/>
        <v>4.2520972612934783E-2</v>
      </c>
      <c r="H77" s="3">
        <f t="shared" si="10"/>
        <v>0.20620614106503904</v>
      </c>
      <c r="I77" s="1">
        <f t="shared" si="8"/>
        <v>0.70818505792448616</v>
      </c>
      <c r="J77" s="4">
        <v>2</v>
      </c>
      <c r="K77" s="4">
        <v>61</v>
      </c>
      <c r="L77" s="4">
        <v>1</v>
      </c>
    </row>
    <row r="78" spans="1:12" x14ac:dyDescent="0.2">
      <c r="A78" s="2" t="s">
        <v>49</v>
      </c>
      <c r="B78" s="3">
        <v>142</v>
      </c>
      <c r="C78" s="3">
        <v>81</v>
      </c>
      <c r="D78" s="3">
        <v>0.6</v>
      </c>
      <c r="E78" s="3">
        <v>0.5</v>
      </c>
      <c r="F78" s="3">
        <v>0.69</v>
      </c>
      <c r="G78" s="1">
        <f t="shared" si="9"/>
        <v>3.9845173041894354E-2</v>
      </c>
      <c r="H78" s="3">
        <f t="shared" si="10"/>
        <v>0.19961255732517019</v>
      </c>
      <c r="I78" s="1">
        <f t="shared" si="8"/>
        <v>0.40546510810816427</v>
      </c>
      <c r="J78" s="4">
        <v>2</v>
      </c>
      <c r="K78" s="4">
        <v>65</v>
      </c>
      <c r="L78" s="4">
        <v>1</v>
      </c>
    </row>
    <row r="79" spans="1:12" x14ac:dyDescent="0.2">
      <c r="A79" s="2" t="s">
        <v>40</v>
      </c>
      <c r="B79" s="3">
        <v>94</v>
      </c>
      <c r="C79" s="3">
        <v>53</v>
      </c>
      <c r="D79" s="3">
        <v>0.7</v>
      </c>
      <c r="E79" s="3">
        <v>0.59</v>
      </c>
      <c r="F79" s="3">
        <v>0.8</v>
      </c>
      <c r="G79" s="1">
        <f t="shared" si="9"/>
        <v>6.6961543369870147E-2</v>
      </c>
      <c r="H79" s="3">
        <f t="shared" si="10"/>
        <v>0.25876928598632054</v>
      </c>
      <c r="I79" s="1">
        <f t="shared" si="8"/>
        <v>0.84729786038720345</v>
      </c>
      <c r="J79" s="4">
        <v>1</v>
      </c>
      <c r="K79" s="4">
        <v>11</v>
      </c>
      <c r="L79" s="4">
        <v>1</v>
      </c>
    </row>
    <row r="80" spans="1:12" x14ac:dyDescent="0.2">
      <c r="A80" s="2" t="s">
        <v>37</v>
      </c>
      <c r="B80" s="3">
        <v>82</v>
      </c>
      <c r="C80" s="3">
        <v>14</v>
      </c>
      <c r="D80" s="3">
        <v>0.74</v>
      </c>
      <c r="E80" s="3">
        <v>0.57999999999999996</v>
      </c>
      <c r="F80" s="3">
        <v>0.86</v>
      </c>
      <c r="G80" s="1">
        <f t="shared" si="9"/>
        <v>0.14339798098129017</v>
      </c>
      <c r="H80" s="3">
        <f t="shared" si="10"/>
        <v>0.37867925871545982</v>
      </c>
      <c r="I80" s="1">
        <f t="shared" si="8"/>
        <v>1.0459685551826876</v>
      </c>
      <c r="J80" s="4">
        <v>1</v>
      </c>
      <c r="K80" s="4">
        <v>12</v>
      </c>
      <c r="L80" s="4">
        <v>1</v>
      </c>
    </row>
    <row r="81" spans="1:12" x14ac:dyDescent="0.2">
      <c r="A81" s="5" t="s">
        <v>37</v>
      </c>
      <c r="B81" s="3">
        <v>82</v>
      </c>
      <c r="C81" s="3">
        <v>14</v>
      </c>
      <c r="D81" s="3">
        <v>0.79</v>
      </c>
      <c r="E81" s="3">
        <v>0.64</v>
      </c>
      <c r="F81" s="3">
        <v>0.94</v>
      </c>
      <c r="G81" s="1">
        <f t="shared" si="9"/>
        <v>0.16206343325461056</v>
      </c>
      <c r="H81" s="3">
        <f t="shared" si="10"/>
        <v>0.40257102883169643</v>
      </c>
      <c r="I81" s="1">
        <f t="shared" si="8"/>
        <v>1.3249254147435987</v>
      </c>
      <c r="J81" s="4">
        <v>1</v>
      </c>
      <c r="K81" s="3">
        <v>61</v>
      </c>
      <c r="L81" s="4">
        <v>1</v>
      </c>
    </row>
    <row r="82" spans="1:12" x14ac:dyDescent="0.2">
      <c r="A82" s="5" t="s">
        <v>37</v>
      </c>
      <c r="B82" s="3">
        <v>82</v>
      </c>
      <c r="C82" s="3">
        <v>14</v>
      </c>
      <c r="D82" s="3">
        <v>0.82</v>
      </c>
      <c r="E82" s="3">
        <v>0.66</v>
      </c>
      <c r="F82" s="3">
        <v>0.97</v>
      </c>
      <c r="G82" s="1">
        <f t="shared" si="9"/>
        <v>0.17879683434412968</v>
      </c>
      <c r="H82" s="3">
        <f t="shared" si="10"/>
        <v>0.42284374696113181</v>
      </c>
      <c r="I82" s="1">
        <f t="shared" si="8"/>
        <v>1.5163474893680882</v>
      </c>
      <c r="J82" s="4">
        <v>1</v>
      </c>
      <c r="K82" s="4">
        <v>0</v>
      </c>
      <c r="L82" s="4">
        <v>1</v>
      </c>
    </row>
    <row r="83" spans="1:12" x14ac:dyDescent="0.2">
      <c r="A83" s="5" t="s">
        <v>37</v>
      </c>
      <c r="B83" s="3">
        <v>82</v>
      </c>
      <c r="C83" s="3">
        <v>14</v>
      </c>
      <c r="D83" s="3">
        <v>0.75</v>
      </c>
      <c r="E83" s="3">
        <v>0.6</v>
      </c>
      <c r="F83" s="3">
        <v>0.91</v>
      </c>
      <c r="G83" s="1">
        <f t="shared" si="9"/>
        <v>0.14645858343337334</v>
      </c>
      <c r="H83" s="3">
        <f t="shared" si="10"/>
        <v>0.38269907686506555</v>
      </c>
      <c r="I83" s="1">
        <f t="shared" si="8"/>
        <v>1.0986122886681096</v>
      </c>
      <c r="J83" s="4">
        <v>1</v>
      </c>
      <c r="K83" s="4">
        <v>36</v>
      </c>
      <c r="L83" s="4">
        <v>1</v>
      </c>
    </row>
    <row r="84" spans="1:12" x14ac:dyDescent="0.2">
      <c r="A84" s="5" t="s">
        <v>37</v>
      </c>
      <c r="B84" s="3">
        <v>82</v>
      </c>
      <c r="C84" s="3">
        <v>14</v>
      </c>
      <c r="D84" s="3">
        <v>0.67</v>
      </c>
      <c r="E84" s="3">
        <v>0.51</v>
      </c>
      <c r="F84" s="3">
        <v>0.83</v>
      </c>
      <c r="G84" s="1">
        <f t="shared" si="9"/>
        <v>0.12814421124748657</v>
      </c>
      <c r="H84" s="3">
        <f t="shared" si="10"/>
        <v>0.35797236101057656</v>
      </c>
      <c r="I84" s="1">
        <f t="shared" ref="I84:I100" si="11">LN(D84)-LN(1-D84)</f>
        <v>0.70818505792448616</v>
      </c>
      <c r="J84" s="4">
        <v>1</v>
      </c>
      <c r="K84" s="4">
        <v>42</v>
      </c>
      <c r="L84" s="4">
        <v>1</v>
      </c>
    </row>
    <row r="85" spans="1:12" x14ac:dyDescent="0.2">
      <c r="A85" s="6" t="s">
        <v>30</v>
      </c>
      <c r="B85" s="3">
        <v>342</v>
      </c>
      <c r="C85" s="3">
        <v>33</v>
      </c>
      <c r="D85" s="3">
        <v>0.74</v>
      </c>
      <c r="E85" s="3">
        <v>0.64</v>
      </c>
      <c r="F85" s="3">
        <v>0.84</v>
      </c>
      <c r="G85" s="1">
        <f t="shared" si="9"/>
        <v>5.5241378754379532E-2</v>
      </c>
      <c r="H85" s="3">
        <f t="shared" si="10"/>
        <v>0.2350348458301014</v>
      </c>
      <c r="I85" s="1">
        <f t="shared" si="11"/>
        <v>1.0459685551826876</v>
      </c>
      <c r="J85" s="4">
        <v>1</v>
      </c>
      <c r="K85" s="4">
        <v>98</v>
      </c>
      <c r="L85" s="4">
        <v>1</v>
      </c>
    </row>
    <row r="86" spans="1:12" x14ac:dyDescent="0.2">
      <c r="A86" s="2" t="s">
        <v>30</v>
      </c>
      <c r="B86" s="3">
        <v>245</v>
      </c>
      <c r="C86" s="3">
        <v>23</v>
      </c>
      <c r="D86" s="3">
        <v>0.74</v>
      </c>
      <c r="E86" s="3">
        <v>0.63</v>
      </c>
      <c r="F86" s="3">
        <v>0.84</v>
      </c>
      <c r="G86" s="1">
        <f t="shared" si="9"/>
        <v>7.9137098465272213E-2</v>
      </c>
      <c r="H86" s="3">
        <f t="shared" si="10"/>
        <v>0.2813131679557006</v>
      </c>
      <c r="I86" s="1">
        <f t="shared" si="11"/>
        <v>1.0459685551826876</v>
      </c>
      <c r="J86" s="4">
        <v>1</v>
      </c>
      <c r="K86" s="4">
        <v>18</v>
      </c>
      <c r="L86" s="4">
        <v>1</v>
      </c>
    </row>
    <row r="87" spans="1:12" x14ac:dyDescent="0.2">
      <c r="A87" s="2" t="s">
        <v>30</v>
      </c>
      <c r="B87" s="3">
        <v>264</v>
      </c>
      <c r="C87" s="3">
        <v>26</v>
      </c>
      <c r="D87" s="3">
        <v>0.77</v>
      </c>
      <c r="E87" s="3">
        <v>0.68</v>
      </c>
      <c r="F87" s="3">
        <v>0.86</v>
      </c>
      <c r="G87" s="1">
        <f t="shared" si="9"/>
        <v>7.5266928471894715E-2</v>
      </c>
      <c r="H87" s="3">
        <f t="shared" si="10"/>
        <v>0.27434818838821357</v>
      </c>
      <c r="I87" s="1">
        <f t="shared" si="11"/>
        <v>1.2083112059245342</v>
      </c>
      <c r="J87" s="4">
        <v>1</v>
      </c>
      <c r="K87" s="4">
        <v>29</v>
      </c>
      <c r="L87" s="4">
        <v>1</v>
      </c>
    </row>
    <row r="88" spans="1:12" x14ac:dyDescent="0.2">
      <c r="A88" s="2" t="s">
        <v>30</v>
      </c>
      <c r="B88" s="3">
        <v>88</v>
      </c>
      <c r="C88" s="3">
        <v>13</v>
      </c>
      <c r="D88" s="3">
        <v>0.83</v>
      </c>
      <c r="E88" s="3">
        <v>0.74</v>
      </c>
      <c r="F88" s="3">
        <v>0.92</v>
      </c>
      <c r="G88" s="1">
        <f t="shared" si="9"/>
        <v>0.19444725863308729</v>
      </c>
      <c r="H88" s="3">
        <f t="shared" si="10"/>
        <v>0.44096174282253475</v>
      </c>
      <c r="I88" s="1">
        <f t="shared" si="11"/>
        <v>1.5856272637403814</v>
      </c>
      <c r="J88" s="4">
        <v>1</v>
      </c>
      <c r="K88" s="4">
        <v>48</v>
      </c>
      <c r="L88" s="4">
        <v>1</v>
      </c>
    </row>
    <row r="89" spans="1:12" x14ac:dyDescent="0.2">
      <c r="A89" s="2" t="s">
        <v>17</v>
      </c>
      <c r="B89" s="3">
        <v>81</v>
      </c>
      <c r="C89" s="3">
        <v>18</v>
      </c>
      <c r="D89" s="3">
        <v>0.73</v>
      </c>
      <c r="E89" s="3">
        <v>0.63</v>
      </c>
      <c r="F89" s="3">
        <v>0.83</v>
      </c>
      <c r="G89" s="1">
        <f t="shared" si="9"/>
        <v>0.11661717412659513</v>
      </c>
      <c r="H89" s="3">
        <f t="shared" si="10"/>
        <v>0.34149256818647622</v>
      </c>
      <c r="I89" s="1">
        <f t="shared" si="11"/>
        <v>0.99462257514406205</v>
      </c>
      <c r="J89" s="4">
        <v>1</v>
      </c>
      <c r="K89" s="3">
        <v>26</v>
      </c>
      <c r="L89" s="4">
        <v>1</v>
      </c>
    </row>
    <row r="90" spans="1:12" x14ac:dyDescent="0.2">
      <c r="A90" s="2" t="s">
        <v>17</v>
      </c>
      <c r="B90" s="3">
        <v>107</v>
      </c>
      <c r="C90" s="3">
        <v>43</v>
      </c>
      <c r="D90" s="3">
        <v>0.74</v>
      </c>
      <c r="E90" s="3">
        <v>0.64</v>
      </c>
      <c r="F90" s="3">
        <v>0.83</v>
      </c>
      <c r="G90" s="1">
        <f t="shared" si="9"/>
        <v>6.4517280836446825E-2</v>
      </c>
      <c r="H90" s="3">
        <f t="shared" si="10"/>
        <v>0.25400252131907436</v>
      </c>
      <c r="I90" s="1">
        <f t="shared" si="11"/>
        <v>1.0459685551826876</v>
      </c>
      <c r="J90" s="4">
        <v>1</v>
      </c>
      <c r="K90" s="4">
        <v>72</v>
      </c>
      <c r="L90" s="4">
        <v>1</v>
      </c>
    </row>
    <row r="91" spans="1:12" x14ac:dyDescent="0.2">
      <c r="A91" s="6" t="s">
        <v>17</v>
      </c>
      <c r="B91" s="3">
        <v>96</v>
      </c>
      <c r="C91" s="3">
        <v>37</v>
      </c>
      <c r="D91" s="3">
        <v>0.7</v>
      </c>
      <c r="E91" s="3">
        <v>0.59</v>
      </c>
      <c r="F91" s="3">
        <v>0.8</v>
      </c>
      <c r="G91" s="1">
        <f t="shared" si="9"/>
        <v>6.8056399063378126E-2</v>
      </c>
      <c r="H91" s="3">
        <f t="shared" si="10"/>
        <v>0.2608762140621067</v>
      </c>
      <c r="I91" s="1">
        <f t="shared" si="11"/>
        <v>0.84729786038720345</v>
      </c>
      <c r="J91" s="4">
        <v>1</v>
      </c>
      <c r="K91" s="4">
        <v>95</v>
      </c>
      <c r="L91" s="4">
        <v>1</v>
      </c>
    </row>
    <row r="92" spans="1:12" x14ac:dyDescent="0.2">
      <c r="A92" s="5" t="s">
        <v>57</v>
      </c>
      <c r="B92" s="3">
        <v>51</v>
      </c>
      <c r="C92" s="3">
        <v>13</v>
      </c>
      <c r="D92" s="3">
        <v>0.7</v>
      </c>
      <c r="E92" s="3">
        <v>0.55000000000000004</v>
      </c>
      <c r="F92" s="3">
        <v>0.86</v>
      </c>
      <c r="G92" s="1">
        <f t="shared" si="9"/>
        <v>0.16138501492157123</v>
      </c>
      <c r="H92" s="3">
        <f t="shared" si="10"/>
        <v>0.40172753816681678</v>
      </c>
      <c r="I92" s="1">
        <f t="shared" si="11"/>
        <v>0.84729786038720345</v>
      </c>
      <c r="J92" s="4">
        <v>1</v>
      </c>
      <c r="K92" s="4">
        <v>16</v>
      </c>
      <c r="L92" s="4">
        <v>1</v>
      </c>
    </row>
    <row r="93" spans="1:12" x14ac:dyDescent="0.2">
      <c r="A93" s="5" t="s">
        <v>57</v>
      </c>
      <c r="B93" s="3">
        <v>51</v>
      </c>
      <c r="C93" s="3">
        <v>13</v>
      </c>
      <c r="D93" s="3">
        <v>0.69</v>
      </c>
      <c r="E93" s="3">
        <v>0.53</v>
      </c>
      <c r="F93" s="3">
        <v>0.84</v>
      </c>
      <c r="G93" s="1">
        <f t="shared" si="9"/>
        <v>0.15899696312312289</v>
      </c>
      <c r="H93" s="3">
        <f t="shared" si="10"/>
        <v>0.39874423271455961</v>
      </c>
      <c r="I93" s="1">
        <f t="shared" si="11"/>
        <v>0.80011930011211274</v>
      </c>
      <c r="J93" s="4">
        <v>1</v>
      </c>
      <c r="K93" s="4">
        <v>7</v>
      </c>
      <c r="L93" s="4">
        <v>1</v>
      </c>
    </row>
    <row r="94" spans="1:12" x14ac:dyDescent="0.2">
      <c r="A94" s="5" t="s">
        <v>57</v>
      </c>
      <c r="B94" s="3">
        <v>51</v>
      </c>
      <c r="C94" s="3">
        <v>13</v>
      </c>
      <c r="D94" s="3">
        <v>0.64</v>
      </c>
      <c r="E94" s="3">
        <v>0.45</v>
      </c>
      <c r="F94" s="3">
        <v>0.82</v>
      </c>
      <c r="G94" s="1">
        <f t="shared" si="9"/>
        <v>0.14976831111711333</v>
      </c>
      <c r="H94" s="3">
        <f t="shared" si="10"/>
        <v>0.38699910996940723</v>
      </c>
      <c r="I94" s="1">
        <f t="shared" si="11"/>
        <v>0.57536414490356202</v>
      </c>
      <c r="J94" s="4">
        <v>1</v>
      </c>
      <c r="K94" s="4">
        <v>15</v>
      </c>
      <c r="L94" s="4">
        <v>1</v>
      </c>
    </row>
    <row r="95" spans="1:12" x14ac:dyDescent="0.2">
      <c r="A95" s="5" t="s">
        <v>57</v>
      </c>
      <c r="B95" s="3">
        <v>51</v>
      </c>
      <c r="C95" s="3">
        <v>13</v>
      </c>
      <c r="D95" s="3">
        <v>0.62</v>
      </c>
      <c r="E95" s="3">
        <v>0.43</v>
      </c>
      <c r="F95" s="3">
        <v>0.8</v>
      </c>
      <c r="G95" s="1">
        <f t="shared" si="9"/>
        <v>0.14712131332759451</v>
      </c>
      <c r="H95" s="3">
        <f t="shared" si="10"/>
        <v>0.38356396249855707</v>
      </c>
      <c r="I95" s="1">
        <f t="shared" si="11"/>
        <v>0.48954822531870579</v>
      </c>
      <c r="J95" s="4">
        <v>1</v>
      </c>
      <c r="K95" s="4">
        <v>66</v>
      </c>
      <c r="L95" s="4">
        <v>1</v>
      </c>
    </row>
    <row r="96" spans="1:12" x14ac:dyDescent="0.2">
      <c r="A96" s="2" t="s">
        <v>24</v>
      </c>
      <c r="B96" s="3">
        <v>106</v>
      </c>
      <c r="C96" s="3">
        <v>30</v>
      </c>
      <c r="D96" s="3">
        <v>0.68</v>
      </c>
      <c r="E96" s="3">
        <v>0.57999999999999996</v>
      </c>
      <c r="F96" s="3">
        <v>0.77</v>
      </c>
      <c r="G96" s="1">
        <f t="shared" si="9"/>
        <v>6.9848264265833918E-2</v>
      </c>
      <c r="H96" s="3">
        <f t="shared" si="10"/>
        <v>0.2642882219582135</v>
      </c>
      <c r="I96" s="1">
        <f t="shared" si="11"/>
        <v>0.75377180237638042</v>
      </c>
      <c r="J96" s="4">
        <v>1</v>
      </c>
      <c r="K96" s="4">
        <v>8</v>
      </c>
      <c r="L96" s="4">
        <v>1</v>
      </c>
    </row>
    <row r="97" spans="1:12" x14ac:dyDescent="0.2">
      <c r="A97" s="2" t="s">
        <v>25</v>
      </c>
      <c r="B97" s="3">
        <v>54</v>
      </c>
      <c r="C97" s="3">
        <v>7</v>
      </c>
      <c r="D97" s="3">
        <v>0.84</v>
      </c>
      <c r="E97" s="3">
        <v>0.63</v>
      </c>
      <c r="F97" s="3">
        <v>0.94</v>
      </c>
      <c r="G97" s="1">
        <f t="shared" si="9"/>
        <v>0.37215434835773598</v>
      </c>
      <c r="H97" s="3">
        <f t="shared" si="10"/>
        <v>0.61004454620768145</v>
      </c>
      <c r="I97" s="1">
        <f t="shared" si="11"/>
        <v>1.6582280766035322</v>
      </c>
      <c r="J97" s="4">
        <v>2</v>
      </c>
      <c r="K97" s="4">
        <v>19</v>
      </c>
      <c r="L97" s="4">
        <v>1</v>
      </c>
    </row>
    <row r="98" spans="1:12" x14ac:dyDescent="0.2">
      <c r="A98" s="2" t="s">
        <v>25</v>
      </c>
      <c r="B98" s="3">
        <v>54</v>
      </c>
      <c r="C98" s="3">
        <v>7</v>
      </c>
      <c r="D98" s="3">
        <v>0.77</v>
      </c>
      <c r="E98" s="3">
        <v>0.55000000000000004</v>
      </c>
      <c r="F98" s="3">
        <v>0.9</v>
      </c>
      <c r="G98" s="1">
        <f t="shared" si="9"/>
        <v>0.29472681415996349</v>
      </c>
      <c r="H98" s="3">
        <f t="shared" si="10"/>
        <v>0.54288747835989315</v>
      </c>
      <c r="I98" s="1">
        <f t="shared" si="11"/>
        <v>1.2083112059245342</v>
      </c>
      <c r="J98" s="4">
        <v>2</v>
      </c>
      <c r="K98" s="4">
        <v>82</v>
      </c>
      <c r="L98" s="4">
        <v>1</v>
      </c>
    </row>
    <row r="99" spans="1:12" x14ac:dyDescent="0.2">
      <c r="A99" s="2" t="s">
        <v>25</v>
      </c>
      <c r="B99" s="3">
        <v>54</v>
      </c>
      <c r="C99" s="3">
        <v>7</v>
      </c>
      <c r="D99" s="3">
        <v>0.77</v>
      </c>
      <c r="E99" s="3">
        <v>0.55000000000000004</v>
      </c>
      <c r="F99" s="3">
        <v>0.92</v>
      </c>
      <c r="G99" s="1">
        <f t="shared" si="9"/>
        <v>0.29472681415996349</v>
      </c>
      <c r="H99" s="3">
        <f t="shared" si="10"/>
        <v>0.54288747835989315</v>
      </c>
      <c r="I99" s="1">
        <f t="shared" si="11"/>
        <v>1.2083112059245342</v>
      </c>
      <c r="J99" s="4">
        <v>2</v>
      </c>
      <c r="K99" s="4">
        <v>9</v>
      </c>
      <c r="L99" s="4">
        <v>1</v>
      </c>
    </row>
    <row r="100" spans="1:12" x14ac:dyDescent="0.2">
      <c r="A100" s="2" t="s">
        <v>44</v>
      </c>
      <c r="B100" s="3">
        <v>153</v>
      </c>
      <c r="C100" s="3">
        <v>34</v>
      </c>
      <c r="D100" s="3">
        <v>0.78</v>
      </c>
      <c r="E100" s="3">
        <v>0.7</v>
      </c>
      <c r="F100" s="3">
        <v>0.85</v>
      </c>
      <c r="G100" s="1">
        <f t="shared" si="9"/>
        <v>6.8701517285024688E-2</v>
      </c>
      <c r="H100" s="3">
        <f t="shared" si="10"/>
        <v>0.26210974282735977</v>
      </c>
      <c r="I100" s="1">
        <f t="shared" si="11"/>
        <v>1.2656663733312761</v>
      </c>
      <c r="J100" s="4">
        <v>1</v>
      </c>
      <c r="K100" s="4">
        <v>20</v>
      </c>
      <c r="L100" s="4">
        <v>1</v>
      </c>
    </row>
  </sheetData>
  <autoFilter ref="A1:L100" xr:uid="{EDBC7E4D-FB29-4067-9C59-CEB39E9CFB7B}">
    <sortState xmlns:xlrd2="http://schemas.microsoft.com/office/spreadsheetml/2017/richdata2" ref="A2:L100">
      <sortCondition descending="1" ref="L1:L10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Ogonah</dc:creator>
  <cp:lastModifiedBy>Ogonah, Maya</cp:lastModifiedBy>
  <dcterms:created xsi:type="dcterms:W3CDTF">2022-11-22T14:44:04Z</dcterms:created>
  <dcterms:modified xsi:type="dcterms:W3CDTF">2025-10-16T19:42:33Z</dcterms:modified>
</cp:coreProperties>
</file>