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aogonah/Documents/Github/forensic-risk/"/>
    </mc:Choice>
  </mc:AlternateContent>
  <xr:revisionPtr revIDLastSave="0" documentId="13_ncr:1_{2DA83936-7F09-0846-B8ED-4143A48FDCAB}" xr6:coauthVersionLast="47" xr6:coauthVersionMax="47" xr10:uidLastSave="{00000000-0000-0000-0000-000000000000}"/>
  <bookViews>
    <workbookView xWindow="0" yWindow="740" windowWidth="29400" windowHeight="18380" xr2:uid="{0E349954-0436-46C4-9C31-4537F80CB02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1" l="1"/>
  <c r="J36" i="1"/>
  <c r="H36" i="1"/>
  <c r="I36" i="1" s="1"/>
  <c r="J35" i="1"/>
  <c r="H35" i="1"/>
  <c r="I35" i="1" s="1"/>
  <c r="J9" i="1"/>
  <c r="H9" i="1"/>
  <c r="I9" i="1" s="1"/>
  <c r="J8" i="1"/>
  <c r="H8" i="1"/>
  <c r="I8" i="1" s="1"/>
  <c r="J7" i="1"/>
  <c r="H7" i="1"/>
  <c r="I7" i="1" s="1"/>
  <c r="J28" i="1"/>
  <c r="H28" i="1"/>
  <c r="I28" i="1" s="1"/>
  <c r="J18" i="1"/>
  <c r="H18" i="1"/>
  <c r="I18" i="1" s="1"/>
  <c r="J17" i="1"/>
  <c r="H17" i="1"/>
  <c r="I17" i="1" s="1"/>
  <c r="J16" i="1"/>
  <c r="H16" i="1"/>
  <c r="I16" i="1" s="1"/>
  <c r="J15" i="1"/>
  <c r="H15" i="1"/>
  <c r="I15" i="1" s="1"/>
</calcChain>
</file>

<file path=xl/sharedStrings.xml><?xml version="1.0" encoding="utf-8"?>
<sst xmlns="http://schemas.openxmlformats.org/spreadsheetml/2006/main" count="88" uniqueCount="47">
  <si>
    <t>author(s) and year</t>
  </si>
  <si>
    <t>tool</t>
  </si>
  <si>
    <t>samplesize</t>
  </si>
  <si>
    <t>observed</t>
  </si>
  <si>
    <t>auc</t>
  </si>
  <si>
    <t>auc.lower</t>
  </si>
  <si>
    <t>auc.upper</t>
  </si>
  <si>
    <t>variance</t>
  </si>
  <si>
    <t>standard_error</t>
  </si>
  <si>
    <t>logit(c)</t>
  </si>
  <si>
    <t>group</t>
  </si>
  <si>
    <t>rows</t>
  </si>
  <si>
    <t>Static-99</t>
  </si>
  <si>
    <t xml:space="preserve"> </t>
  </si>
  <si>
    <t xml:space="preserve">Bengtson et al. (2008) </t>
  </si>
  <si>
    <t xml:space="preserve">de Vogel et al. (2004b) </t>
  </si>
  <si>
    <t xml:space="preserve">Ducro &amp; Pham (2006) </t>
  </si>
  <si>
    <t>RE Model for Subgroup (Q = 2.52, df = 2, p = 0.28; I2 = 20.5%, τ2 = 0.1)</t>
  </si>
  <si>
    <t>PCL:SV</t>
  </si>
  <si>
    <t xml:space="preserve">Barber-Rioja et al. (2012) </t>
  </si>
  <si>
    <t>Coid et al. (2016)</t>
  </si>
  <si>
    <t>HCR20v2</t>
  </si>
  <si>
    <t xml:space="preserve">Gray et al. (2007) </t>
  </si>
  <si>
    <t xml:space="preserve">Sheperd et al. (2018) </t>
  </si>
  <si>
    <t>VRAG</t>
  </si>
  <si>
    <t xml:space="preserve">Grann et al. (2000) </t>
  </si>
  <si>
    <t xml:space="preserve">Tengstrom (2001) </t>
  </si>
  <si>
    <t xml:space="preserve">van Heesch et al. (2016) </t>
  </si>
  <si>
    <t>Static 99</t>
  </si>
  <si>
    <t xml:space="preserve">Brouillette-Alarie &amp; Proulx (2013) </t>
  </si>
  <si>
    <t xml:space="preserve">de Vogel et al. (2004) </t>
  </si>
  <si>
    <t xml:space="preserve">Brookstein et al. (2020) </t>
  </si>
  <si>
    <t xml:space="preserve">de Vries Robbe et al. (2013) </t>
  </si>
  <si>
    <t xml:space="preserve">Douglas et al. (2003) </t>
  </si>
  <si>
    <t xml:space="preserve">Jeandarme et al. (2016) </t>
  </si>
  <si>
    <t>Michel et al. (2013)</t>
  </si>
  <si>
    <t>Nilsson et al. (2011)</t>
  </si>
  <si>
    <t xml:space="preserve">Pedersen et al. (2010) </t>
  </si>
  <si>
    <t>H10</t>
  </si>
  <si>
    <t>Troquete et al. (2015)</t>
  </si>
  <si>
    <t>Gray et al. (2007)</t>
  </si>
  <si>
    <r>
      <t>RE Model for Subgroup (Q = 1.32, df = 2, p = 0.52; I</t>
    </r>
    <r>
      <rPr>
        <vertAlign val="superscript"/>
        <sz val="11"/>
        <color theme="1"/>
        <rFont val="Garamond"/>
        <family val="1"/>
      </rPr>
      <t>2</t>
    </r>
    <r>
      <rPr>
        <sz val="11"/>
        <color theme="1"/>
        <rFont val="Garamond"/>
        <family val="1"/>
      </rPr>
      <t xml:space="preserve"> = 0.0%, τ</t>
    </r>
    <r>
      <rPr>
        <vertAlign val="superscript"/>
        <sz val="11"/>
        <color theme="1"/>
        <rFont val="Garamond"/>
        <family val="1"/>
      </rPr>
      <t>2</t>
    </r>
    <r>
      <rPr>
        <sz val="11"/>
        <color theme="1"/>
        <rFont val="Garamond"/>
        <family val="1"/>
      </rPr>
      <t xml:space="preserve"> = 0.00)</t>
    </r>
  </si>
  <si>
    <r>
      <t>RE Model for Subgroup (Q = 0.36, df = 2, p = 0.84; I</t>
    </r>
    <r>
      <rPr>
        <vertAlign val="superscript"/>
        <sz val="11"/>
        <color rgb="FF000000"/>
        <rFont val="Garamond"/>
        <family val="1"/>
      </rPr>
      <t>2</t>
    </r>
    <r>
      <rPr>
        <sz val="11"/>
        <color rgb="FF000000"/>
        <rFont val="Garamond"/>
        <family val="1"/>
      </rPr>
      <t xml:space="preserve"> = 0.0%, τ</t>
    </r>
    <r>
      <rPr>
        <vertAlign val="superscript"/>
        <sz val="11"/>
        <color rgb="FF000000"/>
        <rFont val="Garamond"/>
        <family val="1"/>
      </rPr>
      <t>2</t>
    </r>
    <r>
      <rPr>
        <sz val="11"/>
        <color rgb="FF000000"/>
        <rFont val="Garamond"/>
        <family val="1"/>
      </rPr>
      <t xml:space="preserve"> = 0.0)</t>
    </r>
  </si>
  <si>
    <r>
      <t>RE Model for Subgroup (Q = 3.53, df = 4, p = 0.47; I</t>
    </r>
    <r>
      <rPr>
        <vertAlign val="superscript"/>
        <sz val="11"/>
        <color theme="1"/>
        <rFont val="Garamond"/>
        <family val="1"/>
      </rPr>
      <t>2</t>
    </r>
    <r>
      <rPr>
        <sz val="11"/>
        <color theme="1"/>
        <rFont val="Garamond"/>
        <family val="1"/>
      </rPr>
      <t xml:space="preserve"> = 0.0%, τ</t>
    </r>
    <r>
      <rPr>
        <vertAlign val="superscript"/>
        <sz val="11"/>
        <color theme="1"/>
        <rFont val="Garamond"/>
        <family val="1"/>
      </rPr>
      <t>2</t>
    </r>
    <r>
      <rPr>
        <sz val="11"/>
        <color theme="1"/>
        <rFont val="Garamond"/>
        <family val="1"/>
      </rPr>
      <t xml:space="preserve"> = 0.00)</t>
    </r>
  </si>
  <si>
    <r>
      <t>RE Model for Subgroup (Q = 5.47, df = 3, p = 0.14; I</t>
    </r>
    <r>
      <rPr>
        <vertAlign val="superscript"/>
        <sz val="11"/>
        <color theme="1"/>
        <rFont val="Garamond"/>
        <family val="1"/>
      </rPr>
      <t>2</t>
    </r>
    <r>
      <rPr>
        <sz val="11"/>
        <color theme="1"/>
        <rFont val="Garamond"/>
        <family val="1"/>
      </rPr>
      <t xml:space="preserve"> = 45.2%, τ</t>
    </r>
    <r>
      <rPr>
        <vertAlign val="superscript"/>
        <sz val="11"/>
        <color theme="1"/>
        <rFont val="Garamond"/>
        <family val="1"/>
      </rPr>
      <t>2</t>
    </r>
    <r>
      <rPr>
        <sz val="11"/>
        <color theme="1"/>
        <rFont val="Garamond"/>
        <family val="1"/>
      </rPr>
      <t xml:space="preserve"> = 0.04)</t>
    </r>
  </si>
  <si>
    <r>
      <t>RE Model for Subgroup (Q = 6.10, df = 8, p = 0.64; I</t>
    </r>
    <r>
      <rPr>
        <vertAlign val="superscript"/>
        <sz val="11"/>
        <color theme="1"/>
        <rFont val="Garamond"/>
        <family val="1"/>
      </rPr>
      <t>2</t>
    </r>
    <r>
      <rPr>
        <sz val="11"/>
        <color theme="1"/>
        <rFont val="Garamond"/>
        <family val="1"/>
      </rPr>
      <t xml:space="preserve"> = 0.00%, τ</t>
    </r>
    <r>
      <rPr>
        <vertAlign val="superscript"/>
        <sz val="11"/>
        <color theme="1"/>
        <rFont val="Garamond"/>
        <family val="1"/>
      </rPr>
      <t>2</t>
    </r>
    <r>
      <rPr>
        <sz val="11"/>
        <color theme="1"/>
        <rFont val="Garamond"/>
        <family val="1"/>
      </rPr>
      <t xml:space="preserve"> = 0.00)</t>
    </r>
  </si>
  <si>
    <r>
      <t>RE Model for Subgroup (Q = 0.88, df = 2, p = 0.64; I</t>
    </r>
    <r>
      <rPr>
        <vertAlign val="superscript"/>
        <sz val="11"/>
        <color theme="1"/>
        <rFont val="Garamond"/>
        <family val="1"/>
      </rPr>
      <t>2</t>
    </r>
    <r>
      <rPr>
        <sz val="11"/>
        <color theme="1"/>
        <rFont val="Garamond"/>
        <family val="1"/>
      </rPr>
      <t xml:space="preserve"> = 0.00%, τ</t>
    </r>
    <r>
      <rPr>
        <vertAlign val="superscript"/>
        <sz val="11"/>
        <color theme="1"/>
        <rFont val="Garamond"/>
        <family val="1"/>
      </rPr>
      <t>2</t>
    </r>
    <r>
      <rPr>
        <sz val="11"/>
        <color theme="1"/>
        <rFont val="Garamond"/>
        <family val="1"/>
      </rPr>
      <t xml:space="preserve"> = 0.00)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</si>
</sst>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vertAlign val="superscript"/>
      <sz val="11"/>
      <color theme="1"/>
      <name val="Garamond"/>
      <family val="1"/>
    </font>
    <font>
      <sz val="11"/>
      <color rgb="FF000000"/>
      <name val="Garamond"/>
      <family val="1"/>
    </font>
    <font>
      <vertAlign val="superscript"/>
      <sz val="11"/>
      <color rgb="FF000000"/>
      <name val="Garamond"/>
      <family val="1"/>
    </font>
    <font>
      <b/>
      <sz val="11"/>
      <color theme="1"/>
      <name val="Garamond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B39A-60F2-4753-A9A5-A0FF1BC79706}">
  <dimension ref="A1:L37"/>
  <sheetViews>
    <sheetView tabSelected="1" zoomScale="91" workbookViewId="0">
      <selection activeCell="D8" sqref="D8"/>
    </sheetView>
  </sheetViews>
  <sheetFormatPr baseColWidth="10" defaultColWidth="8.83203125" defaultRowHeight="15" x14ac:dyDescent="0.2"/>
  <cols>
    <col min="1" max="1" width="25.5" customWidth="1"/>
    <col min="2" max="2" width="12.83203125" customWidth="1"/>
    <col min="3" max="3" width="10" bestFit="1" customWidth="1"/>
    <col min="4" max="4" width="8.5" bestFit="1" customWidth="1"/>
    <col min="5" max="5" width="4.1640625" bestFit="1" customWidth="1"/>
    <col min="6" max="6" width="9" bestFit="1" customWidth="1"/>
    <col min="7" max="7" width="9.33203125" bestFit="1" customWidth="1"/>
    <col min="8" max="8" width="7.83203125" bestFit="1" customWidth="1"/>
    <col min="9" max="9" width="13.5" bestFit="1" customWidth="1"/>
    <col min="10" max="10" width="6.5" bestFit="1" customWidth="1"/>
    <col min="11" max="11" width="5.83203125" bestFit="1" customWidth="1"/>
  </cols>
  <sheetData>
    <row r="1" spans="1:12" s="3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7" x14ac:dyDescent="0.2">
      <c r="A2" s="1" t="s">
        <v>41</v>
      </c>
      <c r="B2" s="1" t="s">
        <v>12</v>
      </c>
      <c r="C2" s="1" t="s">
        <v>13</v>
      </c>
      <c r="D2" s="1"/>
      <c r="E2" s="1">
        <v>0.66</v>
      </c>
      <c r="F2" s="1">
        <v>0.56999999999999995</v>
      </c>
      <c r="G2" s="1">
        <v>0.74</v>
      </c>
      <c r="H2" s="1"/>
      <c r="I2" s="1"/>
      <c r="J2" s="1"/>
      <c r="K2" s="1">
        <v>3</v>
      </c>
      <c r="L2" s="1">
        <v>0</v>
      </c>
    </row>
    <row r="3" spans="1:12" x14ac:dyDescent="0.2">
      <c r="A3" s="1" t="s">
        <v>14</v>
      </c>
      <c r="B3" s="1" t="s">
        <v>12</v>
      </c>
      <c r="C3" s="1">
        <v>304</v>
      </c>
      <c r="D3" s="1">
        <v>85</v>
      </c>
      <c r="E3" s="1">
        <v>0.64</v>
      </c>
      <c r="F3" s="1">
        <v>0.56999999999999995</v>
      </c>
      <c r="G3" s="1">
        <v>0.71</v>
      </c>
      <c r="H3" s="1">
        <v>2.3292105E-2</v>
      </c>
      <c r="I3" s="1">
        <v>0.15261751300000001</v>
      </c>
      <c r="J3" s="1">
        <v>0.57536414499999999</v>
      </c>
      <c r="K3" s="1">
        <v>2</v>
      </c>
      <c r="L3" s="1">
        <v>1</v>
      </c>
    </row>
    <row r="4" spans="1:12" x14ac:dyDescent="0.2">
      <c r="A4" s="1" t="s">
        <v>15</v>
      </c>
      <c r="B4" s="1" t="s">
        <v>12</v>
      </c>
      <c r="C4" s="1">
        <v>122</v>
      </c>
      <c r="D4" s="1">
        <v>47</v>
      </c>
      <c r="E4" s="1">
        <v>0.71</v>
      </c>
      <c r="F4" s="1">
        <v>0.61</v>
      </c>
      <c r="G4" s="1">
        <v>0.79</v>
      </c>
      <c r="H4" s="1">
        <v>5.4286013000000001E-2</v>
      </c>
      <c r="I4" s="1">
        <v>0.232993591</v>
      </c>
      <c r="J4" s="1">
        <v>0.89538404699999996</v>
      </c>
      <c r="K4" s="1">
        <v>2</v>
      </c>
      <c r="L4" s="1">
        <v>2</v>
      </c>
    </row>
    <row r="5" spans="1:12" x14ac:dyDescent="0.2">
      <c r="A5" s="1" t="s">
        <v>16</v>
      </c>
      <c r="B5" s="1" t="s">
        <v>12</v>
      </c>
      <c r="C5" s="1">
        <v>147</v>
      </c>
      <c r="D5" s="1">
        <v>36</v>
      </c>
      <c r="E5" s="1">
        <v>0.66</v>
      </c>
      <c r="F5" s="1">
        <v>0.56000000000000005</v>
      </c>
      <c r="G5" s="1">
        <v>0.76</v>
      </c>
      <c r="H5" s="1">
        <v>5.3775727000000002E-2</v>
      </c>
      <c r="I5" s="1">
        <v>0.23189593999999999</v>
      </c>
      <c r="J5" s="1">
        <v>0.66329421700000002</v>
      </c>
      <c r="K5" s="1">
        <v>1</v>
      </c>
      <c r="L5" s="1">
        <v>3</v>
      </c>
    </row>
    <row r="6" spans="1:12" x14ac:dyDescent="0.2">
      <c r="A6" s="1" t="s">
        <v>17</v>
      </c>
      <c r="B6" s="1" t="s">
        <v>18</v>
      </c>
      <c r="C6" s="1"/>
      <c r="D6" s="1"/>
      <c r="E6" s="1">
        <v>0.67</v>
      </c>
      <c r="F6" s="1">
        <v>0.56000000000000005</v>
      </c>
      <c r="G6" s="1">
        <v>0.77</v>
      </c>
      <c r="H6" s="1"/>
      <c r="I6" s="1"/>
      <c r="J6" s="1"/>
      <c r="K6" s="1">
        <v>3</v>
      </c>
      <c r="L6" s="1">
        <v>8</v>
      </c>
    </row>
    <row r="7" spans="1:12" x14ac:dyDescent="0.2">
      <c r="A7" s="1" t="s">
        <v>19</v>
      </c>
      <c r="B7" s="1" t="s">
        <v>18</v>
      </c>
      <c r="C7" s="1">
        <v>131</v>
      </c>
      <c r="D7" s="1">
        <v>51</v>
      </c>
      <c r="E7" s="1">
        <v>0.68</v>
      </c>
      <c r="F7" s="1">
        <v>0.57999999999999996</v>
      </c>
      <c r="G7" s="1">
        <v>0.77</v>
      </c>
      <c r="H7" s="1">
        <f t="shared" ref="H7:H9" si="0">(1+(C7/2-1)*(1-E7)/(2-E7)+(C7/2-1)*E7/(1+E7))/(E7*(1-E7)*D7*(C7-D7))</f>
        <v>4.8144989111954944E-2</v>
      </c>
      <c r="I7" s="1">
        <f t="shared" ref="I7:I9" si="1">SQRT(H7)</f>
        <v>0.21941966436934257</v>
      </c>
      <c r="J7" s="1">
        <f t="shared" ref="J7:J9" si="2">LN(E7)-LN(1-E7)</f>
        <v>0.75377180237638042</v>
      </c>
      <c r="K7" s="1">
        <v>1</v>
      </c>
      <c r="L7" s="1">
        <v>9</v>
      </c>
    </row>
    <row r="8" spans="1:12" x14ac:dyDescent="0.2">
      <c r="A8" s="1" t="s">
        <v>40</v>
      </c>
      <c r="B8" s="1" t="s">
        <v>18</v>
      </c>
      <c r="C8" s="1">
        <v>566</v>
      </c>
      <c r="D8" s="1">
        <v>105</v>
      </c>
      <c r="E8" s="1">
        <v>0.7</v>
      </c>
      <c r="F8" s="1">
        <v>0.64</v>
      </c>
      <c r="G8" s="1">
        <v>0.75</v>
      </c>
      <c r="H8" s="1">
        <f t="shared" si="0"/>
        <v>1.7923627541010283E-2</v>
      </c>
      <c r="I8" s="1">
        <f t="shared" si="1"/>
        <v>0.13387915274982243</v>
      </c>
      <c r="J8" s="1">
        <f t="shared" si="2"/>
        <v>0.84729786038720345</v>
      </c>
      <c r="K8" s="1">
        <v>2</v>
      </c>
      <c r="L8" s="1">
        <v>10</v>
      </c>
    </row>
    <row r="9" spans="1:12" x14ac:dyDescent="0.2">
      <c r="A9" s="1" t="s">
        <v>20</v>
      </c>
      <c r="B9" s="1" t="s">
        <v>18</v>
      </c>
      <c r="C9" s="1">
        <v>387</v>
      </c>
      <c r="D9" s="1">
        <v>48</v>
      </c>
      <c r="E9" s="1">
        <v>0.62</v>
      </c>
      <c r="F9" s="1">
        <v>0.52</v>
      </c>
      <c r="G9" s="1">
        <v>0.71</v>
      </c>
      <c r="H9" s="1">
        <f t="shared" si="0"/>
        <v>3.3304808775796717E-2</v>
      </c>
      <c r="I9" s="1">
        <f t="shared" si="1"/>
        <v>0.18249605139782263</v>
      </c>
      <c r="J9" s="1">
        <f t="shared" si="2"/>
        <v>0.48954822531870579</v>
      </c>
      <c r="K9" s="1">
        <v>1</v>
      </c>
      <c r="L9" s="1">
        <v>11</v>
      </c>
    </row>
    <row r="10" spans="1:12" ht="17" x14ac:dyDescent="0.2">
      <c r="A10" s="2" t="s">
        <v>42</v>
      </c>
      <c r="B10" s="1" t="s">
        <v>21</v>
      </c>
      <c r="C10" s="1"/>
      <c r="D10" s="1"/>
      <c r="E10" s="1">
        <v>0.69</v>
      </c>
      <c r="F10" s="1">
        <v>0.65</v>
      </c>
      <c r="G10" s="1">
        <v>0.72</v>
      </c>
      <c r="H10" s="1"/>
      <c r="I10" s="1"/>
      <c r="J10" s="1"/>
      <c r="K10" s="1">
        <v>3</v>
      </c>
      <c r="L10" s="1">
        <v>14</v>
      </c>
    </row>
    <row r="11" spans="1:12" x14ac:dyDescent="0.2">
      <c r="A11" s="1" t="s">
        <v>19</v>
      </c>
      <c r="B11" s="1" t="s">
        <v>21</v>
      </c>
      <c r="C11" s="1">
        <v>131</v>
      </c>
      <c r="D11" s="1">
        <v>51</v>
      </c>
      <c r="E11" s="1">
        <v>0.71</v>
      </c>
      <c r="F11" s="1">
        <v>0.61</v>
      </c>
      <c r="G11" s="1">
        <v>0.79</v>
      </c>
      <c r="H11" s="1">
        <v>5.0084735999999998E-2</v>
      </c>
      <c r="I11" s="1">
        <v>0.223796192</v>
      </c>
      <c r="J11" s="1">
        <v>0.88085805699999997</v>
      </c>
      <c r="K11" s="1">
        <v>1</v>
      </c>
      <c r="L11" s="1">
        <v>15</v>
      </c>
    </row>
    <row r="12" spans="1:12" x14ac:dyDescent="0.2">
      <c r="A12" s="1" t="s">
        <v>22</v>
      </c>
      <c r="B12" s="1" t="s">
        <v>21</v>
      </c>
      <c r="C12" s="1">
        <v>671</v>
      </c>
      <c r="D12" s="1">
        <v>75</v>
      </c>
      <c r="E12" s="1">
        <v>0.68</v>
      </c>
      <c r="F12" s="1">
        <v>0.64</v>
      </c>
      <c r="G12" s="1">
        <v>0.72</v>
      </c>
      <c r="H12" s="1">
        <v>9.8418529999999994E-3</v>
      </c>
      <c r="I12" s="1">
        <v>9.9206111999999999E-2</v>
      </c>
      <c r="J12" s="1">
        <v>0.75377180200000005</v>
      </c>
      <c r="K12" s="1">
        <v>2</v>
      </c>
      <c r="L12" s="1">
        <v>16</v>
      </c>
    </row>
    <row r="13" spans="1:12" x14ac:dyDescent="0.2">
      <c r="A13" s="1" t="s">
        <v>23</v>
      </c>
      <c r="B13" s="1" t="s">
        <v>21</v>
      </c>
      <c r="C13" s="1">
        <v>116</v>
      </c>
      <c r="D13" s="1">
        <v>53</v>
      </c>
      <c r="E13" s="1">
        <v>0.76</v>
      </c>
      <c r="F13" s="1">
        <v>0.66</v>
      </c>
      <c r="G13" s="1">
        <v>0.84</v>
      </c>
      <c r="H13" s="1">
        <v>6.0170563000000003E-2</v>
      </c>
      <c r="I13" s="1">
        <v>0.24529688699999999</v>
      </c>
      <c r="J13" s="1">
        <v>1.15267951</v>
      </c>
      <c r="K13" s="1">
        <v>1</v>
      </c>
      <c r="L13" s="1">
        <v>17</v>
      </c>
    </row>
    <row r="14" spans="1:12" ht="17" x14ac:dyDescent="0.2">
      <c r="A14" s="1" t="s">
        <v>43</v>
      </c>
      <c r="B14" s="1" t="s">
        <v>24</v>
      </c>
      <c r="C14" s="1" t="s">
        <v>13</v>
      </c>
      <c r="D14" s="1"/>
      <c r="E14" s="1">
        <v>0.69</v>
      </c>
      <c r="F14" s="1">
        <v>0.63</v>
      </c>
      <c r="G14" s="1">
        <v>0.75</v>
      </c>
      <c r="H14" s="1"/>
      <c r="I14" s="1"/>
      <c r="J14" s="1"/>
      <c r="K14" s="1">
        <v>3</v>
      </c>
      <c r="L14" s="1">
        <v>22</v>
      </c>
    </row>
    <row r="15" spans="1:12" x14ac:dyDescent="0.2">
      <c r="A15" s="2" t="s">
        <v>25</v>
      </c>
      <c r="B15" s="1" t="s">
        <v>24</v>
      </c>
      <c r="C15" s="1">
        <v>404</v>
      </c>
      <c r="D15" s="1">
        <v>91</v>
      </c>
      <c r="E15" s="1">
        <v>0.68</v>
      </c>
      <c r="F15" s="1">
        <v>0.63</v>
      </c>
      <c r="G15" s="1">
        <v>0.73</v>
      </c>
      <c r="H15" s="1">
        <f t="shared" ref="H15:H18" si="3">(1+(C15/2-1)*(1-E15)/(2-E15)+(C15/2-1)*E15/(1+E15))/(E15*(1-E15)*D15*(C15-D15))</f>
        <v>2.1149808590743429E-2</v>
      </c>
      <c r="I15" s="1">
        <f t="shared" ref="I15:I18" si="4">SQRT(H15)</f>
        <v>0.14542973764242109</v>
      </c>
      <c r="J15" s="1">
        <f t="shared" ref="J15:J18" si="5">LN(E15)-LN(1-E15)</f>
        <v>0.75377180237638042</v>
      </c>
      <c r="K15" s="1">
        <v>1</v>
      </c>
      <c r="L15" s="1">
        <v>23</v>
      </c>
    </row>
    <row r="16" spans="1:12" x14ac:dyDescent="0.2">
      <c r="A16" s="2" t="s">
        <v>40</v>
      </c>
      <c r="B16" s="1" t="s">
        <v>24</v>
      </c>
      <c r="C16" s="1">
        <v>320</v>
      </c>
      <c r="D16" s="1">
        <v>35</v>
      </c>
      <c r="E16" s="1">
        <v>0.74</v>
      </c>
      <c r="F16" s="1">
        <v>0.64</v>
      </c>
      <c r="G16" s="1">
        <v>0.82</v>
      </c>
      <c r="H16" s="1">
        <f t="shared" si="3"/>
        <v>5.2850532497926837E-2</v>
      </c>
      <c r="I16" s="1">
        <f t="shared" si="4"/>
        <v>0.22989243680018454</v>
      </c>
      <c r="J16" s="1">
        <f t="shared" si="5"/>
        <v>1.0459685551826876</v>
      </c>
      <c r="K16" s="1">
        <v>2</v>
      </c>
      <c r="L16" s="1">
        <v>24</v>
      </c>
    </row>
    <row r="17" spans="1:12" x14ac:dyDescent="0.2">
      <c r="A17" s="2" t="s">
        <v>26</v>
      </c>
      <c r="B17" s="1" t="s">
        <v>24</v>
      </c>
      <c r="C17" s="1">
        <v>106</v>
      </c>
      <c r="D17" s="1">
        <v>30</v>
      </c>
      <c r="E17" s="1">
        <v>0.68</v>
      </c>
      <c r="F17" s="1">
        <v>0.57999999999999996</v>
      </c>
      <c r="G17" s="1">
        <v>0.77</v>
      </c>
      <c r="H17" s="1">
        <f t="shared" si="3"/>
        <v>6.9848264265833918E-2</v>
      </c>
      <c r="I17" s="1">
        <f t="shared" si="4"/>
        <v>0.2642882219582135</v>
      </c>
      <c r="J17" s="1">
        <f t="shared" si="5"/>
        <v>0.75377180237638042</v>
      </c>
      <c r="K17" s="1">
        <v>1</v>
      </c>
      <c r="L17" s="1">
        <v>25</v>
      </c>
    </row>
    <row r="18" spans="1:12" x14ac:dyDescent="0.2">
      <c r="A18" s="2" t="s">
        <v>27</v>
      </c>
      <c r="B18" s="1" t="s">
        <v>24</v>
      </c>
      <c r="C18" s="1">
        <v>191</v>
      </c>
      <c r="D18" s="1">
        <v>9</v>
      </c>
      <c r="E18" s="1">
        <v>0.56999999999999995</v>
      </c>
      <c r="F18" s="1">
        <v>0.39</v>
      </c>
      <c r="G18" s="1">
        <v>0.74</v>
      </c>
      <c r="H18" s="1">
        <f t="shared" si="3"/>
        <v>0.15872767068121543</v>
      </c>
      <c r="I18" s="1">
        <f t="shared" si="4"/>
        <v>0.39840641395591941</v>
      </c>
      <c r="J18" s="1">
        <f t="shared" si="5"/>
        <v>0.28185115214098755</v>
      </c>
      <c r="K18" s="1">
        <v>1</v>
      </c>
      <c r="L18" s="1">
        <v>26</v>
      </c>
    </row>
    <row r="19" spans="1:12" ht="17" x14ac:dyDescent="0.2">
      <c r="A19" s="1" t="s">
        <v>44</v>
      </c>
      <c r="B19" s="1" t="s">
        <v>28</v>
      </c>
      <c r="C19" s="1" t="s">
        <v>13</v>
      </c>
      <c r="D19" s="1"/>
      <c r="E19" s="1">
        <v>0.64</v>
      </c>
      <c r="F19" s="1">
        <v>0.53</v>
      </c>
      <c r="G19" s="1">
        <v>0.73</v>
      </c>
      <c r="H19" s="1"/>
      <c r="I19" s="1"/>
      <c r="J19" s="1"/>
      <c r="K19" s="1">
        <v>3</v>
      </c>
      <c r="L19" s="1">
        <v>29</v>
      </c>
    </row>
    <row r="20" spans="1:12" x14ac:dyDescent="0.2">
      <c r="A20" s="2" t="s">
        <v>14</v>
      </c>
      <c r="B20" s="1" t="s">
        <v>28</v>
      </c>
      <c r="C20" s="1">
        <v>304</v>
      </c>
      <c r="D20" s="1">
        <v>139</v>
      </c>
      <c r="E20" s="1">
        <v>0.67</v>
      </c>
      <c r="F20" s="1">
        <v>0.61</v>
      </c>
      <c r="G20" s="1">
        <v>0.73</v>
      </c>
      <c r="H20" s="1">
        <v>1.9532321099949866E-2</v>
      </c>
      <c r="I20" s="1">
        <v>0.13975808062487788</v>
      </c>
      <c r="J20" s="1">
        <v>0.70818505792448616</v>
      </c>
      <c r="K20" s="1">
        <v>1</v>
      </c>
      <c r="L20" s="1">
        <v>30</v>
      </c>
    </row>
    <row r="21" spans="1:12" x14ac:dyDescent="0.2">
      <c r="A21" s="2" t="s">
        <v>29</v>
      </c>
      <c r="B21" s="1" t="s">
        <v>28</v>
      </c>
      <c r="C21" s="1">
        <v>228</v>
      </c>
      <c r="D21" s="1">
        <v>28</v>
      </c>
      <c r="E21" s="1">
        <v>0.65</v>
      </c>
      <c r="F21" s="1">
        <v>0.54</v>
      </c>
      <c r="G21" s="1">
        <v>0.76</v>
      </c>
      <c r="H21" s="1">
        <v>5.8721701578844439E-2</v>
      </c>
      <c r="I21" s="1">
        <v>0.24232561065402156</v>
      </c>
      <c r="J21" s="1">
        <v>0.61903920840622362</v>
      </c>
      <c r="K21" s="1">
        <v>1</v>
      </c>
      <c r="L21" s="1">
        <v>31</v>
      </c>
    </row>
    <row r="22" spans="1:12" x14ac:dyDescent="0.2">
      <c r="A22" s="2" t="s">
        <v>30</v>
      </c>
      <c r="B22" s="1" t="s">
        <v>28</v>
      </c>
      <c r="C22" s="1">
        <v>122</v>
      </c>
      <c r="D22" s="1">
        <v>56</v>
      </c>
      <c r="E22" s="1">
        <v>0.54</v>
      </c>
      <c r="F22" s="1">
        <v>0.44</v>
      </c>
      <c r="G22" s="1">
        <v>0.64</v>
      </c>
      <c r="H22" s="1">
        <v>4.4596097521978469E-2</v>
      </c>
      <c r="I22" s="1">
        <v>0.2111778812328092</v>
      </c>
      <c r="J22" s="1">
        <v>0.16034265007517945</v>
      </c>
      <c r="K22" s="1">
        <v>2</v>
      </c>
      <c r="L22" s="1">
        <v>32</v>
      </c>
    </row>
    <row r="23" spans="1:12" x14ac:dyDescent="0.2">
      <c r="A23" s="2" t="s">
        <v>16</v>
      </c>
      <c r="B23" s="1" t="s">
        <v>28</v>
      </c>
      <c r="C23" s="1">
        <v>147</v>
      </c>
      <c r="D23" s="1">
        <v>25</v>
      </c>
      <c r="E23" s="1">
        <v>0.69</v>
      </c>
      <c r="F23" s="1">
        <v>0.56999999999999995</v>
      </c>
      <c r="G23" s="1">
        <v>0.79</v>
      </c>
      <c r="H23" s="1">
        <v>7.3202707356118071E-2</v>
      </c>
      <c r="I23" s="1">
        <v>0.27055998846118778</v>
      </c>
      <c r="J23" s="1">
        <v>0.80011930011211274</v>
      </c>
      <c r="K23" s="1">
        <v>2</v>
      </c>
      <c r="L23" s="1">
        <v>33</v>
      </c>
    </row>
    <row r="24" spans="1:12" ht="17" x14ac:dyDescent="0.2">
      <c r="A24" s="1" t="s">
        <v>45</v>
      </c>
      <c r="B24" s="1" t="s">
        <v>21</v>
      </c>
      <c r="C24" s="1" t="s">
        <v>13</v>
      </c>
      <c r="D24" s="1"/>
      <c r="E24" s="1">
        <v>0.69</v>
      </c>
      <c r="F24" s="1">
        <v>0.65</v>
      </c>
      <c r="G24" s="1">
        <v>0.72</v>
      </c>
      <c r="H24" s="1"/>
      <c r="I24" s="1"/>
      <c r="J24" s="1"/>
      <c r="K24" s="1">
        <v>3</v>
      </c>
      <c r="L24" s="1">
        <v>36</v>
      </c>
    </row>
    <row r="25" spans="1:12" x14ac:dyDescent="0.2">
      <c r="A25" s="2" t="s">
        <v>31</v>
      </c>
      <c r="B25" s="1" t="s">
        <v>21</v>
      </c>
      <c r="C25" s="1">
        <v>100</v>
      </c>
      <c r="D25" s="1">
        <v>50</v>
      </c>
      <c r="E25" s="1">
        <v>0.77</v>
      </c>
      <c r="F25" s="1">
        <v>0.68</v>
      </c>
      <c r="G25" s="1">
        <v>0.86</v>
      </c>
      <c r="H25" s="1">
        <v>7.1098781999999999E-2</v>
      </c>
      <c r="I25" s="1">
        <v>0.26664354899999998</v>
      </c>
      <c r="J25" s="1">
        <v>1.2083112060000001</v>
      </c>
      <c r="K25" s="1">
        <v>1</v>
      </c>
      <c r="L25" s="1">
        <v>37</v>
      </c>
    </row>
    <row r="26" spans="1:12" x14ac:dyDescent="0.2">
      <c r="A26" s="2" t="s">
        <v>32</v>
      </c>
      <c r="B26" s="1" t="s">
        <v>21</v>
      </c>
      <c r="C26" s="1">
        <v>188</v>
      </c>
      <c r="D26" s="1">
        <v>56</v>
      </c>
      <c r="E26" s="1">
        <v>0.64</v>
      </c>
      <c r="F26" s="1">
        <v>0.56000000000000005</v>
      </c>
      <c r="G26" s="1">
        <v>0.73</v>
      </c>
      <c r="H26" s="1">
        <v>3.6351194460446164E-2</v>
      </c>
      <c r="I26" s="1">
        <v>0.19065989211275183</v>
      </c>
      <c r="J26" s="1">
        <v>0.57536414490356202</v>
      </c>
      <c r="K26" s="1">
        <v>1</v>
      </c>
      <c r="L26" s="1">
        <v>38</v>
      </c>
    </row>
    <row r="27" spans="1:12" x14ac:dyDescent="0.2">
      <c r="A27" s="2" t="s">
        <v>33</v>
      </c>
      <c r="B27" s="1" t="s">
        <v>21</v>
      </c>
      <c r="C27" s="1">
        <v>100</v>
      </c>
      <c r="D27" s="1">
        <v>22</v>
      </c>
      <c r="E27" s="1">
        <v>0.7</v>
      </c>
      <c r="F27" s="1">
        <v>0.56000000000000005</v>
      </c>
      <c r="G27" s="1">
        <v>0.81</v>
      </c>
      <c r="H27" s="1">
        <v>9.0143642179841277E-2</v>
      </c>
      <c r="I27" s="1">
        <v>0.30023930818572253</v>
      </c>
      <c r="J27" s="1">
        <v>0.84729786038720345</v>
      </c>
      <c r="K27" s="1">
        <v>2</v>
      </c>
      <c r="L27" s="1">
        <v>39</v>
      </c>
    </row>
    <row r="28" spans="1:12" x14ac:dyDescent="0.2">
      <c r="A28" s="2" t="s">
        <v>22</v>
      </c>
      <c r="B28" s="1" t="s">
        <v>21</v>
      </c>
      <c r="C28" s="1">
        <v>671</v>
      </c>
      <c r="D28" s="1">
        <v>75</v>
      </c>
      <c r="E28" s="1">
        <v>0.68</v>
      </c>
      <c r="F28" s="1">
        <v>0.61</v>
      </c>
      <c r="G28" s="1">
        <v>0.74</v>
      </c>
      <c r="H28" s="1">
        <f t="shared" ref="H28" si="6">(1+(C28/2-1)*(1-E28)/(2-E28)+(C28/2-1)*E28/(1+E28))/(E28*(1-E28)*D28*(C28-D28))</f>
        <v>2.235941470853137E-2</v>
      </c>
      <c r="I28" s="1">
        <f t="shared" ref="I28" si="7">SQRT(H28)</f>
        <v>0.14953064805761851</v>
      </c>
      <c r="J28" s="1">
        <f t="shared" ref="J28" si="8">LN(E28)-LN(1-E28)</f>
        <v>0.75377180237638042</v>
      </c>
      <c r="K28" s="1">
        <v>2</v>
      </c>
      <c r="L28" s="1">
        <v>40</v>
      </c>
    </row>
    <row r="29" spans="1:12" x14ac:dyDescent="0.2">
      <c r="A29" s="2" t="s">
        <v>34</v>
      </c>
      <c r="B29" s="1" t="s">
        <v>21</v>
      </c>
      <c r="C29" s="1">
        <v>105</v>
      </c>
      <c r="D29" s="1">
        <v>26</v>
      </c>
      <c r="E29" s="1">
        <v>0.63</v>
      </c>
      <c r="F29" s="1">
        <v>0.5</v>
      </c>
      <c r="G29" s="1">
        <v>0.76</v>
      </c>
      <c r="H29" s="1">
        <v>7.2712162223875804E-2</v>
      </c>
      <c r="I29" s="1">
        <v>0.26965192790684028</v>
      </c>
      <c r="J29" s="1">
        <v>0.53221681374730823</v>
      </c>
      <c r="K29" s="1">
        <v>1</v>
      </c>
      <c r="L29" s="1">
        <v>41</v>
      </c>
    </row>
    <row r="30" spans="1:12" x14ac:dyDescent="0.2">
      <c r="A30" s="2" t="s">
        <v>35</v>
      </c>
      <c r="B30" s="1" t="s">
        <v>21</v>
      </c>
      <c r="C30" s="1">
        <v>150</v>
      </c>
      <c r="D30" s="1">
        <v>17</v>
      </c>
      <c r="E30" s="1">
        <v>0.72</v>
      </c>
      <c r="F30" s="1">
        <v>0.57999999999999996</v>
      </c>
      <c r="G30" s="1">
        <v>0.83</v>
      </c>
      <c r="H30" s="1">
        <v>0.10566560875676261</v>
      </c>
      <c r="I30" s="1">
        <v>0.3250624690067474</v>
      </c>
      <c r="J30" s="1">
        <v>0.94446160884085129</v>
      </c>
      <c r="K30" s="1">
        <v>2</v>
      </c>
      <c r="L30" s="1">
        <v>42</v>
      </c>
    </row>
    <row r="31" spans="1:12" x14ac:dyDescent="0.2">
      <c r="A31" s="2" t="s">
        <v>36</v>
      </c>
      <c r="B31" s="1" t="s">
        <v>21</v>
      </c>
      <c r="C31" s="1">
        <v>100</v>
      </c>
      <c r="D31" s="1">
        <v>20</v>
      </c>
      <c r="E31" s="1">
        <v>0.71</v>
      </c>
      <c r="F31" s="1">
        <v>0.6</v>
      </c>
      <c r="G31" s="1">
        <v>0.83</v>
      </c>
      <c r="H31" s="1">
        <v>9.8228913051648464E-2</v>
      </c>
      <c r="I31" s="1">
        <v>0.31341492155232248</v>
      </c>
      <c r="J31" s="1">
        <v>0.8953840470548412</v>
      </c>
      <c r="K31" s="1">
        <v>1</v>
      </c>
      <c r="L31" s="1">
        <v>43</v>
      </c>
    </row>
    <row r="32" spans="1:12" x14ac:dyDescent="0.2">
      <c r="A32" s="2" t="s">
        <v>37</v>
      </c>
      <c r="B32" s="1" t="s">
        <v>21</v>
      </c>
      <c r="C32" s="1">
        <v>107</v>
      </c>
      <c r="D32" s="1">
        <v>43</v>
      </c>
      <c r="E32" s="1">
        <v>0.74</v>
      </c>
      <c r="F32" s="1">
        <v>0.64</v>
      </c>
      <c r="G32" s="1">
        <v>0.83</v>
      </c>
      <c r="H32" s="1">
        <v>6.4517280836446825E-2</v>
      </c>
      <c r="I32" s="1">
        <v>0.25400252131907436</v>
      </c>
      <c r="J32" s="1">
        <v>1.0459685551826876</v>
      </c>
      <c r="K32" s="1">
        <v>1</v>
      </c>
      <c r="L32" s="1">
        <v>44</v>
      </c>
    </row>
    <row r="33" spans="1:12" x14ac:dyDescent="0.2">
      <c r="A33" s="2" t="s">
        <v>23</v>
      </c>
      <c r="B33" s="1" t="s">
        <v>21</v>
      </c>
      <c r="C33" s="1">
        <v>116</v>
      </c>
      <c r="D33" s="1">
        <v>29</v>
      </c>
      <c r="E33" s="1">
        <v>0.68</v>
      </c>
      <c r="F33" s="1">
        <v>0.56000000000000005</v>
      </c>
      <c r="G33" s="1">
        <v>0.79</v>
      </c>
      <c r="H33" s="1">
        <v>6.9015080359243475E-2</v>
      </c>
      <c r="I33" s="1">
        <v>0.26270721413627657</v>
      </c>
      <c r="J33" s="1">
        <v>0.75377180237638042</v>
      </c>
      <c r="K33" s="1">
        <v>1</v>
      </c>
      <c r="L33" s="1">
        <v>45</v>
      </c>
    </row>
    <row r="34" spans="1:12" ht="17" x14ac:dyDescent="0.2">
      <c r="A34" s="1" t="s">
        <v>46</v>
      </c>
      <c r="B34" s="1" t="s">
        <v>38</v>
      </c>
      <c r="C34" s="1"/>
      <c r="D34" s="1"/>
      <c r="E34" s="1">
        <v>0.72</v>
      </c>
      <c r="F34" s="1">
        <v>0.65</v>
      </c>
      <c r="G34" s="1">
        <v>0.79</v>
      </c>
      <c r="H34" s="1"/>
      <c r="I34" s="1"/>
      <c r="J34" s="1"/>
      <c r="K34" s="1">
        <v>3</v>
      </c>
      <c r="L34" s="1">
        <v>48</v>
      </c>
    </row>
    <row r="35" spans="1:12" x14ac:dyDescent="0.2">
      <c r="A35" s="2" t="s">
        <v>25</v>
      </c>
      <c r="B35" s="1" t="s">
        <v>38</v>
      </c>
      <c r="C35" s="1">
        <v>404</v>
      </c>
      <c r="D35" s="1">
        <v>91</v>
      </c>
      <c r="E35" s="1">
        <v>0.71</v>
      </c>
      <c r="F35" s="1">
        <v>0.66</v>
      </c>
      <c r="G35" s="1">
        <v>0.76</v>
      </c>
      <c r="H35" s="1">
        <f t="shared" ref="H35:H36" si="9">(1+(C35/2-1)*(1-E35)/(2-E35)+(C35/2-1)*E35/(1+E35))/(E35*(1-E35)*D35*(C35-D35))</f>
        <v>2.2105699998161026E-2</v>
      </c>
      <c r="I35" s="1">
        <f t="shared" ref="I35:I36" si="10">SQRT(H35)</f>
        <v>0.1486798574056386</v>
      </c>
      <c r="J35" s="1">
        <f t="shared" ref="J35:J37" si="11">LN(E35)-LN(1-E35)</f>
        <v>0.8953840470548412</v>
      </c>
      <c r="K35" s="1">
        <v>1</v>
      </c>
      <c r="L35" s="1">
        <v>49</v>
      </c>
    </row>
    <row r="36" spans="1:12" x14ac:dyDescent="0.2">
      <c r="A36" s="2" t="s">
        <v>26</v>
      </c>
      <c r="B36" s="1" t="s">
        <v>38</v>
      </c>
      <c r="C36" s="1">
        <v>106</v>
      </c>
      <c r="D36" s="1">
        <v>30</v>
      </c>
      <c r="E36" s="1">
        <v>0.76</v>
      </c>
      <c r="F36" s="1">
        <v>0.66</v>
      </c>
      <c r="G36" s="1">
        <v>0.83</v>
      </c>
      <c r="H36" s="1">
        <f t="shared" si="9"/>
        <v>8.0599467104247743E-2</v>
      </c>
      <c r="I36" s="1">
        <f t="shared" si="10"/>
        <v>0.28390045280740173</v>
      </c>
      <c r="J36" s="1">
        <f t="shared" si="11"/>
        <v>1.1526795099383855</v>
      </c>
      <c r="K36" s="1">
        <v>1</v>
      </c>
      <c r="L36" s="1">
        <v>50</v>
      </c>
    </row>
    <row r="37" spans="1:12" x14ac:dyDescent="0.2">
      <c r="A37" s="1" t="s">
        <v>39</v>
      </c>
      <c r="B37" s="1" t="s">
        <v>38</v>
      </c>
      <c r="C37" s="1">
        <v>163</v>
      </c>
      <c r="D37" s="1"/>
      <c r="E37" s="1">
        <v>0.61</v>
      </c>
      <c r="F37" s="1">
        <v>0.52</v>
      </c>
      <c r="G37" s="1">
        <v>0.7</v>
      </c>
      <c r="H37" s="1"/>
      <c r="I37" s="1"/>
      <c r="J37" s="1">
        <f t="shared" si="11"/>
        <v>0.44731221804366483</v>
      </c>
      <c r="K37" s="1">
        <v>1</v>
      </c>
      <c r="L37" s="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Maya Ogonah</dc:creator>
  <cp:keywords/>
  <dc:description/>
  <cp:lastModifiedBy>Ogonah, Maya</cp:lastModifiedBy>
  <cp:revision/>
  <dcterms:created xsi:type="dcterms:W3CDTF">2022-10-31T15:24:01Z</dcterms:created>
  <dcterms:modified xsi:type="dcterms:W3CDTF">2025-10-16T18:21:03Z</dcterms:modified>
  <cp:category/>
  <cp:contentStatus/>
</cp:coreProperties>
</file>