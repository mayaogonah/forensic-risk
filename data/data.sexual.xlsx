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09CAB406-C586-D047-ADA0-5C1F0B7C8C6C}" xr6:coauthVersionLast="47" xr6:coauthVersionMax="47" xr10:uidLastSave="{00000000-0000-0000-0000-000000000000}"/>
  <bookViews>
    <workbookView xWindow="0" yWindow="740" windowWidth="29400" windowHeight="18380" xr2:uid="{912E2207-1B78-42F4-9E32-CC2CC6837A7B}"/>
  </bookViews>
  <sheets>
    <sheet name="Sheet1" sheetId="1" r:id="rId1"/>
  </sheets>
  <definedNames>
    <definedName name="_xlnm._FilterDatabase" localSheetId="0" hidden="1">Sheet1!$A$1:$L$30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2" i="1"/>
  <c r="I2" i="1" s="1"/>
  <c r="H28" i="1"/>
  <c r="I28" i="1" s="1"/>
  <c r="H3" i="1"/>
  <c r="I3" i="1" s="1"/>
  <c r="H23" i="1"/>
  <c r="I23" i="1" s="1"/>
  <c r="H6" i="1"/>
  <c r="I6" i="1" s="1"/>
  <c r="J6" i="1"/>
  <c r="J23" i="1"/>
  <c r="J3" i="1"/>
  <c r="J28" i="1"/>
  <c r="H17" i="1"/>
  <c r="I17" i="1" s="1"/>
  <c r="J17" i="1"/>
  <c r="H7" i="1"/>
  <c r="I7" i="1" s="1"/>
  <c r="J7" i="1"/>
  <c r="H14" i="1"/>
  <c r="I14" i="1" s="1"/>
  <c r="J14" i="1"/>
  <c r="H30" i="1"/>
  <c r="I30" i="1" s="1"/>
  <c r="J30" i="1"/>
  <c r="H27" i="1"/>
  <c r="I27" i="1" s="1"/>
  <c r="J27" i="1"/>
  <c r="J13" i="1"/>
  <c r="J22" i="1"/>
  <c r="J20" i="1"/>
  <c r="J12" i="1"/>
  <c r="J21" i="1"/>
  <c r="J19" i="1"/>
  <c r="H13" i="1"/>
  <c r="I13" i="1" s="1"/>
  <c r="H22" i="1"/>
  <c r="I22" i="1" s="1"/>
  <c r="H20" i="1"/>
  <c r="I20" i="1" s="1"/>
  <c r="H12" i="1"/>
  <c r="I12" i="1" s="1"/>
  <c r="H21" i="1"/>
  <c r="I21" i="1" s="1"/>
  <c r="H19" i="1"/>
  <c r="I19" i="1" s="1"/>
  <c r="H26" i="1"/>
  <c r="I26" i="1" s="1"/>
  <c r="H25" i="1"/>
  <c r="I25" i="1" s="1"/>
  <c r="J26" i="1"/>
  <c r="J25" i="1"/>
  <c r="J11" i="1"/>
  <c r="H11" i="1"/>
  <c r="I11" i="1" s="1"/>
  <c r="H10" i="1"/>
  <c r="I10" i="1" s="1"/>
  <c r="J10" i="1"/>
  <c r="H16" i="1"/>
  <c r="I16" i="1" s="1"/>
  <c r="J16" i="1"/>
  <c r="J15" i="1"/>
  <c r="J24" i="1"/>
  <c r="J9" i="1"/>
  <c r="J4" i="1"/>
  <c r="J29" i="1"/>
  <c r="J18" i="1"/>
  <c r="J5" i="1"/>
  <c r="H15" i="1"/>
  <c r="I15" i="1" s="1"/>
  <c r="H24" i="1"/>
  <c r="I24" i="1" s="1"/>
  <c r="H9" i="1"/>
  <c r="I9" i="1" s="1"/>
  <c r="H4" i="1"/>
  <c r="I4" i="1" s="1"/>
  <c r="H29" i="1"/>
  <c r="I29" i="1" s="1"/>
  <c r="H18" i="1"/>
  <c r="I18" i="1" s="1"/>
  <c r="H5" i="1"/>
  <c r="I5" i="1" s="1"/>
  <c r="J8" i="1"/>
  <c r="H8" i="1"/>
  <c r="I8" i="1" s="1"/>
</calcChain>
</file>

<file path=xl/sharedStrings.xml><?xml version="1.0" encoding="utf-8"?>
<sst xmlns="http://schemas.openxmlformats.org/spreadsheetml/2006/main" count="70" uniqueCount="39">
  <si>
    <t xml:space="preserve">Bengtson et al. (2008) </t>
  </si>
  <si>
    <t>author(s) and year</t>
  </si>
  <si>
    <t>tool</t>
  </si>
  <si>
    <t>samplesize</t>
  </si>
  <si>
    <t>observed</t>
  </si>
  <si>
    <t>auc</t>
  </si>
  <si>
    <t>auc.lower</t>
  </si>
  <si>
    <t>auc.upper</t>
  </si>
  <si>
    <t>variance</t>
  </si>
  <si>
    <t>standard_error</t>
  </si>
  <si>
    <t>logit(c)</t>
  </si>
  <si>
    <t>Static 2002</t>
  </si>
  <si>
    <t>Risk Matrix 2000</t>
  </si>
  <si>
    <t xml:space="preserve">group </t>
  </si>
  <si>
    <t>Static 99</t>
  </si>
  <si>
    <t>SVR-20</t>
  </si>
  <si>
    <t xml:space="preserve">de Vries Robbe et al. (2015) </t>
  </si>
  <si>
    <t>HCR20v2</t>
  </si>
  <si>
    <t>SAPROF</t>
  </si>
  <si>
    <t xml:space="preserve">Ducro &amp; Pham (2006) </t>
  </si>
  <si>
    <t>SORAG</t>
  </si>
  <si>
    <t xml:space="preserve">Eher et al. (2020) </t>
  </si>
  <si>
    <t>VRS-S0</t>
  </si>
  <si>
    <t xml:space="preserve">Gonsalves et al. (2013) </t>
  </si>
  <si>
    <t>PPI</t>
  </si>
  <si>
    <t>PCL-R</t>
  </si>
  <si>
    <t>Hanson &amp; Thornton (2000)**</t>
  </si>
  <si>
    <t>RRASOR</t>
  </si>
  <si>
    <t>SACJ-Min</t>
  </si>
  <si>
    <t xml:space="preserve">Hildebrand et al. (2004) </t>
  </si>
  <si>
    <t>Jung et al. (2018)</t>
  </si>
  <si>
    <t>BARR-2002R</t>
  </si>
  <si>
    <t>Static 2002R</t>
  </si>
  <si>
    <t>Static 99R</t>
  </si>
  <si>
    <t xml:space="preserve">Sjöstedt &amp; Långström </t>
  </si>
  <si>
    <t>VRAG</t>
  </si>
  <si>
    <t>rows</t>
  </si>
  <si>
    <t xml:space="preserve">de Vogel et al. (2004) </t>
  </si>
  <si>
    <t>Hanson &amp; Thornton (2000)*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</si>
</sst>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A0B6-8F76-454B-833D-162D5F72364A}">
  <dimension ref="A1:L1048574"/>
  <sheetViews>
    <sheetView tabSelected="1" workbookViewId="0">
      <pane ySplit="1" topLeftCell="A2" activePane="bottomLeft" state="frozen"/>
      <selection pane="bottomLeft" activeCell="I35" sqref="I35"/>
    </sheetView>
  </sheetViews>
  <sheetFormatPr baseColWidth="10" defaultColWidth="8.83203125" defaultRowHeight="15" x14ac:dyDescent="0.2"/>
  <cols>
    <col min="1" max="1" width="36.83203125" customWidth="1"/>
    <col min="2" max="2" width="11.6640625" customWidth="1"/>
    <col min="3" max="3" width="9.83203125" style="2" bestFit="1" customWidth="1"/>
    <col min="4" max="4" width="8.5" style="2" bestFit="1" customWidth="1"/>
    <col min="5" max="5" width="5.33203125" style="2" customWidth="1"/>
    <col min="6" max="6" width="9" style="2" bestFit="1" customWidth="1"/>
    <col min="7" max="7" width="9.33203125" style="2" bestFit="1" customWidth="1"/>
    <col min="8" max="8" width="7.83203125" bestFit="1" customWidth="1"/>
    <col min="9" max="9" width="13.6640625" bestFit="1" customWidth="1"/>
    <col min="10" max="10" width="6.5" bestFit="1" customWidth="1"/>
    <col min="11" max="11" width="6.33203125" customWidth="1"/>
  </cols>
  <sheetData>
    <row r="1" spans="1:12" s="3" customFormat="1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13</v>
      </c>
      <c r="L1" s="10" t="s">
        <v>36</v>
      </c>
    </row>
    <row r="2" spans="1:12" x14ac:dyDescent="0.2">
      <c r="A2" s="4" t="s">
        <v>21</v>
      </c>
      <c r="B2" s="5" t="s">
        <v>22</v>
      </c>
      <c r="C2" s="6">
        <v>69</v>
      </c>
      <c r="D2" s="6">
        <v>9</v>
      </c>
      <c r="E2" s="7">
        <v>0.71</v>
      </c>
      <c r="F2" s="7">
        <v>0.59</v>
      </c>
      <c r="G2" s="7">
        <v>0.8</v>
      </c>
      <c r="H2" s="5">
        <f t="shared" ref="H2:H30" si="0">(1+(C2/2-1)*(1-E2)/(2-E2)+(C2/2-1)*E2/(1+E2))/(E2*(1-E2)*D2*(C2-D2))</f>
        <v>0.20182724872811489</v>
      </c>
      <c r="I2" s="5">
        <f t="shared" ref="I2:I30" si="1">SQRT(H2)</f>
        <v>0.44925187671073213</v>
      </c>
      <c r="J2" s="5">
        <f t="shared" ref="J2:J30" si="2">LN(E2)-LN(1-E2)</f>
        <v>0.8953840470548412</v>
      </c>
      <c r="K2" s="5">
        <v>1</v>
      </c>
      <c r="L2" s="5">
        <v>3</v>
      </c>
    </row>
    <row r="3" spans="1:12" x14ac:dyDescent="0.2">
      <c r="A3" s="5" t="s">
        <v>34</v>
      </c>
      <c r="B3" s="5" t="s">
        <v>35</v>
      </c>
      <c r="C3" s="6">
        <v>51</v>
      </c>
      <c r="D3" s="6">
        <v>10</v>
      </c>
      <c r="E3" s="6">
        <v>0.57999999999999996</v>
      </c>
      <c r="F3" s="6">
        <v>0.37</v>
      </c>
      <c r="G3" s="6">
        <v>0.79</v>
      </c>
      <c r="H3" s="5">
        <f t="shared" si="0"/>
        <v>0.172615540863825</v>
      </c>
      <c r="I3" s="5">
        <f t="shared" si="1"/>
        <v>0.41547026471677245</v>
      </c>
      <c r="J3" s="5">
        <f t="shared" si="2"/>
        <v>0.3227733922630508</v>
      </c>
      <c r="K3" s="5">
        <v>1</v>
      </c>
      <c r="L3" s="5">
        <v>6</v>
      </c>
    </row>
    <row r="4" spans="1:12" x14ac:dyDescent="0.2">
      <c r="A4" s="4" t="s">
        <v>37</v>
      </c>
      <c r="B4" s="5" t="s">
        <v>15</v>
      </c>
      <c r="C4" s="6">
        <v>122</v>
      </c>
      <c r="D4" s="6">
        <v>47</v>
      </c>
      <c r="E4" s="7">
        <v>0.8</v>
      </c>
      <c r="F4" s="7">
        <v>0.71</v>
      </c>
      <c r="G4" s="7">
        <v>0.87</v>
      </c>
      <c r="H4" s="5">
        <f t="shared" si="0"/>
        <v>6.6784869976359351E-2</v>
      </c>
      <c r="I4" s="5">
        <f t="shared" si="1"/>
        <v>0.25842768809931987</v>
      </c>
      <c r="J4" s="5">
        <f t="shared" si="2"/>
        <v>1.3862943611198908</v>
      </c>
      <c r="K4" s="5">
        <v>2</v>
      </c>
      <c r="L4" s="5">
        <v>9</v>
      </c>
    </row>
    <row r="5" spans="1:12" x14ac:dyDescent="0.2">
      <c r="A5" s="4" t="s">
        <v>16</v>
      </c>
      <c r="B5" s="5" t="s">
        <v>15</v>
      </c>
      <c r="C5" s="6">
        <v>83</v>
      </c>
      <c r="D5" s="6">
        <v>15</v>
      </c>
      <c r="E5" s="7">
        <v>0.57999999999999996</v>
      </c>
      <c r="F5" s="7">
        <v>0.42</v>
      </c>
      <c r="G5" s="7">
        <v>0.74</v>
      </c>
      <c r="H5" s="5">
        <f t="shared" si="0"/>
        <v>0.1120688119668677</v>
      </c>
      <c r="I5" s="5">
        <f t="shared" si="1"/>
        <v>0.33476680236676354</v>
      </c>
      <c r="J5" s="5">
        <f t="shared" si="2"/>
        <v>0.3227733922630508</v>
      </c>
      <c r="K5" s="5">
        <v>1</v>
      </c>
      <c r="L5" s="5">
        <v>10</v>
      </c>
    </row>
    <row r="6" spans="1:12" x14ac:dyDescent="0.2">
      <c r="A6" s="5" t="s">
        <v>34</v>
      </c>
      <c r="B6" s="5" t="s">
        <v>15</v>
      </c>
      <c r="C6" s="6">
        <v>51</v>
      </c>
      <c r="D6" s="6">
        <v>10</v>
      </c>
      <c r="E6" s="6">
        <v>0.49</v>
      </c>
      <c r="F6" s="6">
        <v>0.26</v>
      </c>
      <c r="G6" s="6">
        <v>0.71</v>
      </c>
      <c r="H6" s="5">
        <f t="shared" si="0"/>
        <v>0.16915918969492055</v>
      </c>
      <c r="I6" s="5">
        <f t="shared" si="1"/>
        <v>0.41128966640911435</v>
      </c>
      <c r="J6" s="5">
        <f t="shared" si="2"/>
        <v>-4.0005334613699151E-2</v>
      </c>
      <c r="K6" s="5">
        <v>1</v>
      </c>
      <c r="L6" s="5">
        <v>11</v>
      </c>
    </row>
    <row r="7" spans="1:12" x14ac:dyDescent="0.2">
      <c r="A7" s="4" t="s">
        <v>30</v>
      </c>
      <c r="B7" s="5" t="s">
        <v>33</v>
      </c>
      <c r="C7" s="6">
        <v>258</v>
      </c>
      <c r="D7" s="6">
        <v>11</v>
      </c>
      <c r="E7" s="6">
        <v>0.71</v>
      </c>
      <c r="F7" s="6">
        <v>0.54</v>
      </c>
      <c r="G7" s="6">
        <v>0.89</v>
      </c>
      <c r="H7" s="5">
        <f t="shared" si="0"/>
        <v>0.14822470757994152</v>
      </c>
      <c r="I7" s="5">
        <f t="shared" si="1"/>
        <v>0.38499962023350298</v>
      </c>
      <c r="J7" s="5">
        <f t="shared" si="2"/>
        <v>0.8953840470548412</v>
      </c>
      <c r="K7" s="5">
        <v>1</v>
      </c>
      <c r="L7" s="5">
        <v>14</v>
      </c>
    </row>
    <row r="8" spans="1:12" x14ac:dyDescent="0.2">
      <c r="A8" s="4" t="s">
        <v>0</v>
      </c>
      <c r="B8" s="8" t="s">
        <v>14</v>
      </c>
      <c r="C8" s="6">
        <v>304</v>
      </c>
      <c r="D8" s="6">
        <v>85</v>
      </c>
      <c r="E8" s="7">
        <v>0.64</v>
      </c>
      <c r="F8" s="4">
        <v>0.56999999999999995</v>
      </c>
      <c r="G8" s="4">
        <v>0.71</v>
      </c>
      <c r="H8" s="5">
        <f t="shared" si="0"/>
        <v>2.329210535848545E-2</v>
      </c>
      <c r="I8" s="5">
        <f t="shared" si="1"/>
        <v>0.1526175132757884</v>
      </c>
      <c r="J8" s="5">
        <f t="shared" si="2"/>
        <v>0.57536414490356202</v>
      </c>
      <c r="K8" s="5">
        <v>2</v>
      </c>
      <c r="L8" s="5">
        <v>17</v>
      </c>
    </row>
    <row r="9" spans="1:12" x14ac:dyDescent="0.2">
      <c r="A9" s="4" t="s">
        <v>37</v>
      </c>
      <c r="B9" s="5" t="s">
        <v>14</v>
      </c>
      <c r="C9" s="6">
        <v>122</v>
      </c>
      <c r="D9" s="6">
        <v>47</v>
      </c>
      <c r="E9" s="7">
        <v>0.71</v>
      </c>
      <c r="F9" s="7">
        <v>0.61</v>
      </c>
      <c r="G9" s="7">
        <v>0.79</v>
      </c>
      <c r="H9" s="5">
        <f t="shared" si="0"/>
        <v>5.4286013378080859E-2</v>
      </c>
      <c r="I9" s="5">
        <f t="shared" si="1"/>
        <v>0.23299359085193924</v>
      </c>
      <c r="J9" s="5">
        <f t="shared" si="2"/>
        <v>0.8953840470548412</v>
      </c>
      <c r="K9" s="5">
        <v>2</v>
      </c>
      <c r="L9" s="5">
        <v>18</v>
      </c>
    </row>
    <row r="10" spans="1:12" x14ac:dyDescent="0.2">
      <c r="A10" s="4" t="s">
        <v>19</v>
      </c>
      <c r="B10" s="5" t="s">
        <v>14</v>
      </c>
      <c r="C10" s="6">
        <v>147</v>
      </c>
      <c r="D10" s="6">
        <v>36</v>
      </c>
      <c r="E10" s="7">
        <v>0.66</v>
      </c>
      <c r="F10" s="7">
        <v>0.56000000000000005</v>
      </c>
      <c r="G10" s="7">
        <v>0.76</v>
      </c>
      <c r="H10" s="5">
        <f t="shared" si="0"/>
        <v>5.377572714523679E-2</v>
      </c>
      <c r="I10" s="5">
        <f t="shared" si="1"/>
        <v>0.23189594033798175</v>
      </c>
      <c r="J10" s="5">
        <f t="shared" si="2"/>
        <v>0.66329421741026429</v>
      </c>
      <c r="K10" s="5">
        <v>1</v>
      </c>
      <c r="L10" s="5">
        <v>19</v>
      </c>
    </row>
    <row r="11" spans="1:12" x14ac:dyDescent="0.2">
      <c r="A11" s="4" t="s">
        <v>21</v>
      </c>
      <c r="B11" s="5" t="s">
        <v>14</v>
      </c>
      <c r="C11" s="6">
        <v>69</v>
      </c>
      <c r="D11" s="6">
        <v>9</v>
      </c>
      <c r="E11" s="7">
        <v>0.63</v>
      </c>
      <c r="F11" s="7">
        <v>0.51</v>
      </c>
      <c r="G11" s="7">
        <v>0.74</v>
      </c>
      <c r="H11" s="5">
        <f t="shared" si="0"/>
        <v>0.18268505025827927</v>
      </c>
      <c r="I11" s="5">
        <f t="shared" si="1"/>
        <v>0.42741671733599668</v>
      </c>
      <c r="J11" s="5">
        <f t="shared" si="2"/>
        <v>0.53221681374730823</v>
      </c>
      <c r="K11" s="5">
        <v>1</v>
      </c>
      <c r="L11" s="5">
        <v>20</v>
      </c>
    </row>
    <row r="12" spans="1:12" x14ac:dyDescent="0.2">
      <c r="A12" s="4" t="s">
        <v>26</v>
      </c>
      <c r="B12" s="5" t="s">
        <v>14</v>
      </c>
      <c r="C12" s="6">
        <v>142</v>
      </c>
      <c r="D12" s="6">
        <v>49</v>
      </c>
      <c r="E12" s="6">
        <v>0.67</v>
      </c>
      <c r="F12" s="7">
        <v>0.56999999999999995</v>
      </c>
      <c r="G12" s="7">
        <v>0.76</v>
      </c>
      <c r="H12" s="5">
        <f>(1+(C12/2-1)*(1-E12)/(2-E12)+(C12/2-1)*E12/(1+E12))/(E12*(1-E12)*D12*(C12-D12))</f>
        <v>4.6104043379528357E-2</v>
      </c>
      <c r="I12" s="5">
        <f>SQRT(H12)</f>
        <v>0.21471852127734198</v>
      </c>
      <c r="J12" s="5">
        <f>LN(E12)-LN(1-E12)</f>
        <v>0.70818505792448616</v>
      </c>
      <c r="K12" s="5">
        <v>2</v>
      </c>
      <c r="L12" s="5">
        <v>22</v>
      </c>
    </row>
    <row r="13" spans="1:12" x14ac:dyDescent="0.2">
      <c r="A13" s="4" t="s">
        <v>38</v>
      </c>
      <c r="B13" s="5" t="s">
        <v>14</v>
      </c>
      <c r="C13" s="6">
        <v>344</v>
      </c>
      <c r="D13" s="6">
        <v>52</v>
      </c>
      <c r="E13" s="6">
        <v>0.73</v>
      </c>
      <c r="F13" s="7">
        <v>0.65</v>
      </c>
      <c r="G13" s="7">
        <v>0.8</v>
      </c>
      <c r="H13" s="5">
        <f t="shared" si="0"/>
        <v>3.6591696589758319E-2</v>
      </c>
      <c r="I13" s="5">
        <f t="shared" si="1"/>
        <v>0.1912895621558017</v>
      </c>
      <c r="J13" s="5">
        <f t="shared" si="2"/>
        <v>0.99462257514406205</v>
      </c>
      <c r="K13" s="5">
        <v>2</v>
      </c>
      <c r="L13" s="5">
        <v>21</v>
      </c>
    </row>
    <row r="14" spans="1:12" x14ac:dyDescent="0.2">
      <c r="A14" s="4" t="s">
        <v>30</v>
      </c>
      <c r="B14" s="5" t="s">
        <v>32</v>
      </c>
      <c r="C14" s="6">
        <v>278</v>
      </c>
      <c r="D14" s="6">
        <v>13</v>
      </c>
      <c r="E14" s="6">
        <v>0.76</v>
      </c>
      <c r="F14" s="6">
        <v>0.62</v>
      </c>
      <c r="G14" s="6">
        <v>0.9</v>
      </c>
      <c r="H14" s="5">
        <f t="shared" si="0"/>
        <v>0.13893226025237429</v>
      </c>
      <c r="I14" s="5">
        <f t="shared" si="1"/>
        <v>0.3727361804981833</v>
      </c>
      <c r="J14" s="5">
        <f t="shared" si="2"/>
        <v>1.1526795099383855</v>
      </c>
      <c r="K14" s="5">
        <v>1</v>
      </c>
      <c r="L14" s="5">
        <v>25</v>
      </c>
    </row>
    <row r="15" spans="1:12" x14ac:dyDescent="0.2">
      <c r="A15" s="4" t="s">
        <v>0</v>
      </c>
      <c r="B15" s="5" t="s">
        <v>11</v>
      </c>
      <c r="C15" s="6">
        <v>304</v>
      </c>
      <c r="D15" s="6">
        <v>85</v>
      </c>
      <c r="E15" s="7">
        <v>0.67</v>
      </c>
      <c r="F15" s="4">
        <v>0.6</v>
      </c>
      <c r="G15" s="4">
        <v>0.73</v>
      </c>
      <c r="H15" s="5">
        <f t="shared" si="0"/>
        <v>2.4065204642887465E-2</v>
      </c>
      <c r="I15" s="5">
        <f t="shared" si="1"/>
        <v>0.15512963818331901</v>
      </c>
      <c r="J15" s="5">
        <f t="shared" si="2"/>
        <v>0.70818505792448616</v>
      </c>
      <c r="K15" s="5">
        <v>2</v>
      </c>
      <c r="L15" s="5">
        <v>28</v>
      </c>
    </row>
    <row r="16" spans="1:12" x14ac:dyDescent="0.2">
      <c r="A16" s="4" t="s">
        <v>19</v>
      </c>
      <c r="B16" s="5" t="s">
        <v>20</v>
      </c>
      <c r="C16" s="6">
        <v>147</v>
      </c>
      <c r="D16" s="6">
        <v>36</v>
      </c>
      <c r="E16" s="7">
        <v>0.64</v>
      </c>
      <c r="F16" s="7">
        <v>0.53</v>
      </c>
      <c r="G16" s="7">
        <v>0.75</v>
      </c>
      <c r="H16" s="5">
        <f t="shared" si="0"/>
        <v>5.2661015396274651E-2</v>
      </c>
      <c r="I16" s="5">
        <f t="shared" si="1"/>
        <v>0.22947988015570048</v>
      </c>
      <c r="J16" s="5">
        <f t="shared" si="2"/>
        <v>0.57536414490356202</v>
      </c>
      <c r="K16" s="5">
        <v>1</v>
      </c>
      <c r="L16" s="5">
        <v>31</v>
      </c>
    </row>
    <row r="17" spans="1:12" x14ac:dyDescent="0.2">
      <c r="A17" s="4" t="s">
        <v>30</v>
      </c>
      <c r="B17" s="5" t="s">
        <v>20</v>
      </c>
      <c r="C17" s="6">
        <v>97</v>
      </c>
      <c r="D17" s="6">
        <v>4</v>
      </c>
      <c r="E17" s="6">
        <v>0.74</v>
      </c>
      <c r="F17" s="7">
        <v>0.62</v>
      </c>
      <c r="G17" s="6">
        <v>0.87</v>
      </c>
      <c r="H17" s="5">
        <f t="shared" si="0"/>
        <v>0.43316367009359219</v>
      </c>
      <c r="I17" s="5">
        <f t="shared" si="1"/>
        <v>0.65815170750640173</v>
      </c>
      <c r="J17" s="5">
        <f t="shared" si="2"/>
        <v>1.0459685551826876</v>
      </c>
      <c r="K17" s="5">
        <v>1</v>
      </c>
      <c r="L17" s="5">
        <v>32</v>
      </c>
    </row>
    <row r="18" spans="1:12" x14ac:dyDescent="0.2">
      <c r="A18" s="4" t="s">
        <v>16</v>
      </c>
      <c r="B18" s="5" t="s">
        <v>18</v>
      </c>
      <c r="C18" s="6">
        <v>83</v>
      </c>
      <c r="D18" s="6">
        <v>15</v>
      </c>
      <c r="E18" s="7">
        <v>0.71</v>
      </c>
      <c r="F18" s="7">
        <v>0.56000000000000005</v>
      </c>
      <c r="G18" s="7">
        <v>0.86</v>
      </c>
      <c r="H18" s="5">
        <f t="shared" si="0"/>
        <v>0.1281815874661929</v>
      </c>
      <c r="I18" s="5">
        <f t="shared" si="1"/>
        <v>0.35802456265763793</v>
      </c>
      <c r="J18" s="5">
        <f t="shared" si="2"/>
        <v>0.8953840470548412</v>
      </c>
      <c r="K18" s="5">
        <v>1</v>
      </c>
      <c r="L18" s="5">
        <v>35</v>
      </c>
    </row>
    <row r="19" spans="1:12" x14ac:dyDescent="0.2">
      <c r="A19" s="4" t="s">
        <v>26</v>
      </c>
      <c r="B19" s="5" t="s">
        <v>28</v>
      </c>
      <c r="C19" s="6">
        <v>142</v>
      </c>
      <c r="D19" s="6">
        <v>49</v>
      </c>
      <c r="E19" s="6">
        <v>0.63</v>
      </c>
      <c r="F19" s="7">
        <v>0.53</v>
      </c>
      <c r="G19" s="7">
        <v>0.72</v>
      </c>
      <c r="H19" s="5">
        <f>(1+(C19/2-1)*(1-E19)/(2-E19)+(C19/2-1)*E19/(1+E19))/(E19*(1-E19)*D19*(C19-D19))</f>
        <v>4.4208907687879238E-2</v>
      </c>
      <c r="I19" s="5">
        <f>SQRT(H19)</f>
        <v>0.21025914412429067</v>
      </c>
      <c r="J19" s="5">
        <f>LN(E19)-LN(1-E19)</f>
        <v>0.53221681374730823</v>
      </c>
      <c r="K19" s="5">
        <v>2</v>
      </c>
      <c r="L19" s="5">
        <v>41</v>
      </c>
    </row>
    <row r="20" spans="1:12" x14ac:dyDescent="0.2">
      <c r="A20" s="4" t="s">
        <v>38</v>
      </c>
      <c r="B20" s="5" t="s">
        <v>28</v>
      </c>
      <c r="C20" s="6">
        <v>344</v>
      </c>
      <c r="D20" s="6">
        <v>52</v>
      </c>
      <c r="E20" s="6">
        <v>0.66</v>
      </c>
      <c r="F20" s="7">
        <v>0.57999999999999996</v>
      </c>
      <c r="G20" s="7">
        <v>0.73</v>
      </c>
      <c r="H20" s="5">
        <f t="shared" si="0"/>
        <v>3.2981056705224429E-2</v>
      </c>
      <c r="I20" s="5">
        <f t="shared" si="1"/>
        <v>0.18160687405829226</v>
      </c>
      <c r="J20" s="5">
        <f t="shared" si="2"/>
        <v>0.66329421741026429</v>
      </c>
      <c r="K20" s="5">
        <v>2</v>
      </c>
      <c r="L20" s="5">
        <v>38</v>
      </c>
    </row>
    <row r="21" spans="1:12" x14ac:dyDescent="0.2">
      <c r="A21" s="4" t="s">
        <v>26</v>
      </c>
      <c r="B21" s="5" t="s">
        <v>27</v>
      </c>
      <c r="C21" s="6">
        <v>142</v>
      </c>
      <c r="D21" s="6">
        <v>49</v>
      </c>
      <c r="E21" s="6">
        <v>0.62</v>
      </c>
      <c r="F21" s="7">
        <v>0.52</v>
      </c>
      <c r="G21" s="7">
        <v>0.71</v>
      </c>
      <c r="H21" s="5">
        <f>(1+(C21/2-1)*(1-E21)/(2-E21)+(C21/2-1)*E21/(1+E21))/(E21*(1-E21)*D21*(C21-D21))</f>
        <v>4.3837747497581764E-2</v>
      </c>
      <c r="I21" s="5">
        <f>SQRT(H21)</f>
        <v>0.20937465820290135</v>
      </c>
      <c r="J21" s="5">
        <f>LN(E21)-LN(1-E21)</f>
        <v>0.48954822531870579</v>
      </c>
      <c r="K21" s="5">
        <v>2</v>
      </c>
      <c r="L21" s="5">
        <v>43</v>
      </c>
    </row>
    <row r="22" spans="1:12" x14ac:dyDescent="0.2">
      <c r="A22" s="4" t="s">
        <v>38</v>
      </c>
      <c r="B22" s="5" t="s">
        <v>27</v>
      </c>
      <c r="C22" s="6">
        <v>344</v>
      </c>
      <c r="D22" s="6">
        <v>52</v>
      </c>
      <c r="E22" s="6">
        <v>0.71</v>
      </c>
      <c r="F22" s="7">
        <v>0.63</v>
      </c>
      <c r="G22" s="7">
        <v>0.78</v>
      </c>
      <c r="H22" s="5">
        <f t="shared" si="0"/>
        <v>3.5325732201784789E-2</v>
      </c>
      <c r="I22" s="5">
        <f t="shared" si="1"/>
        <v>0.18795140915083555</v>
      </c>
      <c r="J22" s="5">
        <f t="shared" si="2"/>
        <v>0.8953840470548412</v>
      </c>
      <c r="K22" s="5">
        <v>2</v>
      </c>
      <c r="L22" s="5">
        <v>42</v>
      </c>
    </row>
    <row r="23" spans="1:12" x14ac:dyDescent="0.2">
      <c r="A23" s="5" t="s">
        <v>34</v>
      </c>
      <c r="B23" s="5" t="s">
        <v>27</v>
      </c>
      <c r="C23" s="6">
        <v>51</v>
      </c>
      <c r="D23" s="6">
        <v>10</v>
      </c>
      <c r="E23" s="6">
        <v>0.73</v>
      </c>
      <c r="F23" s="6">
        <v>0.56000000000000005</v>
      </c>
      <c r="G23" s="6">
        <v>0.9</v>
      </c>
      <c r="H23" s="5">
        <f t="shared" si="0"/>
        <v>0.20475939793270934</v>
      </c>
      <c r="I23" s="5">
        <f t="shared" si="1"/>
        <v>0.45250347836531524</v>
      </c>
      <c r="J23" s="5">
        <f t="shared" si="2"/>
        <v>0.99462257514406205</v>
      </c>
      <c r="K23" s="5">
        <v>1</v>
      </c>
      <c r="L23" s="5">
        <v>44</v>
      </c>
    </row>
    <row r="24" spans="1:12" x14ac:dyDescent="0.2">
      <c r="A24" s="4" t="s">
        <v>0</v>
      </c>
      <c r="B24" s="5" t="s">
        <v>12</v>
      </c>
      <c r="C24" s="6">
        <v>304</v>
      </c>
      <c r="D24" s="6">
        <v>85</v>
      </c>
      <c r="E24" s="7">
        <v>0.65</v>
      </c>
      <c r="F24" s="7">
        <v>0.57999999999999996</v>
      </c>
      <c r="G24" s="7">
        <v>0.71</v>
      </c>
      <c r="H24" s="5">
        <f t="shared" si="0"/>
        <v>2.352657738099586E-2</v>
      </c>
      <c r="I24" s="5">
        <f t="shared" si="1"/>
        <v>0.15338375853067318</v>
      </c>
      <c r="J24" s="5">
        <f t="shared" si="2"/>
        <v>0.61903920840622362</v>
      </c>
      <c r="K24" s="5">
        <v>2</v>
      </c>
      <c r="L24" s="5">
        <v>47</v>
      </c>
    </row>
    <row r="25" spans="1:12" x14ac:dyDescent="0.2">
      <c r="A25" s="4" t="s">
        <v>23</v>
      </c>
      <c r="B25" s="5" t="s">
        <v>24</v>
      </c>
      <c r="C25" s="6">
        <v>83</v>
      </c>
      <c r="D25" s="6">
        <v>30</v>
      </c>
      <c r="E25" s="7">
        <v>0.31</v>
      </c>
      <c r="F25" s="7">
        <v>0.21</v>
      </c>
      <c r="G25" s="7">
        <v>0.44</v>
      </c>
      <c r="H25" s="5">
        <f t="shared" si="0"/>
        <v>7.9739466876688786E-2</v>
      </c>
      <c r="I25" s="5">
        <f t="shared" si="1"/>
        <v>0.28238177504344858</v>
      </c>
      <c r="J25" s="5">
        <f t="shared" si="2"/>
        <v>-0.80011930011211296</v>
      </c>
      <c r="K25" s="5">
        <v>2</v>
      </c>
      <c r="L25" s="5">
        <v>50</v>
      </c>
    </row>
    <row r="26" spans="1:12" x14ac:dyDescent="0.2">
      <c r="A26" s="4" t="s">
        <v>23</v>
      </c>
      <c r="B26" s="5" t="s">
        <v>25</v>
      </c>
      <c r="C26" s="6">
        <v>72</v>
      </c>
      <c r="D26" s="6">
        <v>22</v>
      </c>
      <c r="E26" s="7">
        <v>0.36599999999999999</v>
      </c>
      <c r="F26" s="7">
        <v>0.24</v>
      </c>
      <c r="G26" s="7">
        <v>0.51</v>
      </c>
      <c r="H26" s="5">
        <f t="shared" si="0"/>
        <v>9.3861182284435046E-2</v>
      </c>
      <c r="I26" s="5">
        <f t="shared" si="1"/>
        <v>0.306367723960007</v>
      </c>
      <c r="J26" s="5">
        <f t="shared" si="2"/>
        <v>-0.54941562103585961</v>
      </c>
      <c r="K26" s="5">
        <v>2</v>
      </c>
      <c r="L26" s="5">
        <v>53</v>
      </c>
    </row>
    <row r="27" spans="1:12" x14ac:dyDescent="0.2">
      <c r="A27" s="4" t="s">
        <v>29</v>
      </c>
      <c r="B27" s="5" t="s">
        <v>25</v>
      </c>
      <c r="C27" s="6">
        <v>94</v>
      </c>
      <c r="D27" s="6">
        <v>32</v>
      </c>
      <c r="E27" s="6">
        <v>0.68</v>
      </c>
      <c r="F27" s="6">
        <v>0.56000000000000005</v>
      </c>
      <c r="G27" s="6">
        <v>0.8</v>
      </c>
      <c r="H27" s="5">
        <f t="shared" si="0"/>
        <v>7.1274615051299117E-2</v>
      </c>
      <c r="I27" s="5">
        <f t="shared" si="1"/>
        <v>0.26697306053476466</v>
      </c>
      <c r="J27" s="5">
        <f t="shared" si="2"/>
        <v>0.75377180237638042</v>
      </c>
      <c r="K27" s="5">
        <v>1</v>
      </c>
      <c r="L27" s="5">
        <v>54</v>
      </c>
    </row>
    <row r="28" spans="1:12" x14ac:dyDescent="0.2">
      <c r="A28" s="5" t="s">
        <v>34</v>
      </c>
      <c r="B28" s="5" t="s">
        <v>25</v>
      </c>
      <c r="C28" s="6">
        <v>51</v>
      </c>
      <c r="D28" s="6">
        <v>10</v>
      </c>
      <c r="E28" s="6">
        <v>0.45</v>
      </c>
      <c r="F28" s="7">
        <v>0.25</v>
      </c>
      <c r="G28" s="6">
        <v>0.66</v>
      </c>
      <c r="H28" s="5">
        <f t="shared" si="0"/>
        <v>0.17045574439969294</v>
      </c>
      <c r="I28" s="5">
        <f t="shared" si="1"/>
        <v>0.4128628639145121</v>
      </c>
      <c r="J28" s="5">
        <f t="shared" si="2"/>
        <v>-0.20067069546215122</v>
      </c>
      <c r="K28" s="5">
        <v>1</v>
      </c>
      <c r="L28" s="5">
        <v>55</v>
      </c>
    </row>
    <row r="29" spans="1:12" x14ac:dyDescent="0.2">
      <c r="A29" s="4" t="s">
        <v>16</v>
      </c>
      <c r="B29" s="5" t="s">
        <v>17</v>
      </c>
      <c r="C29" s="6">
        <v>83</v>
      </c>
      <c r="D29" s="6">
        <v>15</v>
      </c>
      <c r="E29" s="7">
        <v>0.59</v>
      </c>
      <c r="F29" s="7">
        <v>0.44</v>
      </c>
      <c r="G29" s="7">
        <v>0.74</v>
      </c>
      <c r="H29" s="5">
        <f t="shared" si="0"/>
        <v>0.1126899692445967</v>
      </c>
      <c r="I29" s="5">
        <f t="shared" si="1"/>
        <v>0.3356932666059847</v>
      </c>
      <c r="J29" s="5">
        <f t="shared" si="2"/>
        <v>0.36396537720141153</v>
      </c>
      <c r="K29" s="5">
        <v>1</v>
      </c>
      <c r="L29" s="5">
        <v>58</v>
      </c>
    </row>
    <row r="30" spans="1:12" x14ac:dyDescent="0.2">
      <c r="A30" s="4" t="s">
        <v>30</v>
      </c>
      <c r="B30" s="5" t="s">
        <v>31</v>
      </c>
      <c r="C30" s="6">
        <v>281</v>
      </c>
      <c r="D30" s="6">
        <v>13</v>
      </c>
      <c r="E30" s="6">
        <v>0.66</v>
      </c>
      <c r="F30" s="6">
        <v>0.51</v>
      </c>
      <c r="G30" s="6">
        <v>0.81</v>
      </c>
      <c r="H30" s="5">
        <f t="shared" si="0"/>
        <v>0.11749584273427502</v>
      </c>
      <c r="I30" s="5">
        <f t="shared" si="1"/>
        <v>0.34277666597111744</v>
      </c>
      <c r="J30" s="5">
        <f t="shared" si="2"/>
        <v>0.66329421741026429</v>
      </c>
      <c r="K30" s="5">
        <v>1</v>
      </c>
      <c r="L30" s="5">
        <v>61</v>
      </c>
    </row>
    <row r="1048574" spans="1:1" x14ac:dyDescent="0.2">
      <c r="A1048574" s="1"/>
    </row>
  </sheetData>
  <autoFilter ref="A1:L30" xr:uid="{E16BA0B6-8F76-454B-833D-162D5F72364A}">
    <sortState xmlns:xlrd2="http://schemas.microsoft.com/office/spreadsheetml/2017/richdata2" ref="A2:L30">
      <sortCondition descending="1" ref="B1:B30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EBC6408F4C34F8D43DDB057C1A3C5" ma:contentTypeVersion="11" ma:contentTypeDescription="Create a new document." ma:contentTypeScope="" ma:versionID="4d7f858d388d0f7ea1c2b03a12891fc5">
  <xsd:schema xmlns:xsd="http://www.w3.org/2001/XMLSchema" xmlns:xs="http://www.w3.org/2001/XMLSchema" xmlns:p="http://schemas.microsoft.com/office/2006/metadata/properties" xmlns:ns3="4b78955d-0ff0-439d-876a-49463c8128af" xmlns:ns4="ae4ea563-1c57-49a1-a064-ac636b685900" targetNamespace="http://schemas.microsoft.com/office/2006/metadata/properties" ma:root="true" ma:fieldsID="99ce441fc6f07d7eac62b2ba77d4666a" ns3:_="" ns4:_="">
    <xsd:import namespace="4b78955d-0ff0-439d-876a-49463c8128af"/>
    <xsd:import namespace="ae4ea563-1c57-49a1-a064-ac636b6859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8955d-0ff0-439d-876a-49463c812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ea563-1c57-49a1-a064-ac636b685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BCB26F-F6A3-4976-8B7F-681D4B9EBF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D9E57-C48E-4EB2-8CBA-02EB78F7D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8955d-0ff0-439d-876a-49463c8128af"/>
    <ds:schemaRef ds:uri="ae4ea563-1c57-49a1-a064-ac636b685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7D6CCD-163E-4DBE-BFE7-01C4C7139CB2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ae4ea563-1c57-49a1-a064-ac636b685900"/>
    <ds:schemaRef ds:uri="http://purl.org/dc/elements/1.1/"/>
    <ds:schemaRef ds:uri="http://purl.org/dc/terms/"/>
    <ds:schemaRef ds:uri="4b78955d-0ff0-439d-876a-49463c8128af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Ogonah, Maya</cp:lastModifiedBy>
  <dcterms:created xsi:type="dcterms:W3CDTF">2022-10-12T15:39:54Z</dcterms:created>
  <dcterms:modified xsi:type="dcterms:W3CDTF">2025-10-16T19:40:46Z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0x010100F57EBC6408F4C34F8D43DDB057C1A3C5</vt:lpwstr>
  </property>
</Properties>
</file>