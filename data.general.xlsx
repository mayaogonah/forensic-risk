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1F3EE211-ED0C-5443-87B2-3565ADFBAF9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Sheet1!$A$1:$L$55</definedName>
    <definedName name="_xlnm._FilterDatabase" localSheetId="1" hidden="1">Sheet2!$A$1:$L$20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I22" i="1" s="1"/>
  <c r="J22" i="1"/>
  <c r="H39" i="1"/>
  <c r="I39" i="1" s="1"/>
  <c r="J39" i="1"/>
  <c r="H44" i="1"/>
  <c r="I44" i="1" s="1"/>
  <c r="J44" i="1"/>
  <c r="H37" i="1"/>
  <c r="I37" i="1" s="1"/>
  <c r="J37" i="1"/>
  <c r="H36" i="1"/>
  <c r="I36" i="1" s="1"/>
  <c r="J36" i="1"/>
  <c r="H23" i="1"/>
  <c r="I23" i="1" s="1"/>
  <c r="J23" i="1"/>
  <c r="H35" i="1"/>
  <c r="I35" i="1" s="1"/>
  <c r="J35" i="1"/>
  <c r="H21" i="1"/>
  <c r="I21" i="1" s="1"/>
  <c r="J21" i="1"/>
  <c r="J20" i="2"/>
  <c r="H20" i="2"/>
  <c r="I20" i="2" s="1"/>
  <c r="J19" i="2"/>
  <c r="H19" i="2"/>
  <c r="I19" i="2" s="1"/>
  <c r="J18" i="2"/>
  <c r="H18" i="2"/>
  <c r="I18" i="2" s="1"/>
  <c r="J17" i="2"/>
  <c r="H17" i="2"/>
  <c r="I17" i="2" s="1"/>
  <c r="J16" i="2"/>
  <c r="H16" i="2"/>
  <c r="I16" i="2" s="1"/>
  <c r="J15" i="2"/>
  <c r="H15" i="2"/>
  <c r="I15" i="2" s="1"/>
  <c r="J14" i="2"/>
  <c r="H14" i="2"/>
  <c r="I14" i="2" s="1"/>
  <c r="J13" i="2"/>
  <c r="H13" i="2"/>
  <c r="I13" i="2" s="1"/>
  <c r="J12" i="2"/>
  <c r="H12" i="2"/>
  <c r="I12" i="2" s="1"/>
  <c r="J11" i="2"/>
  <c r="H11" i="2"/>
  <c r="I11" i="2" s="1"/>
  <c r="J10" i="2"/>
  <c r="J9" i="2"/>
  <c r="H9" i="2"/>
  <c r="I9" i="2" s="1"/>
  <c r="J8" i="2"/>
  <c r="H8" i="2"/>
  <c r="I8" i="2" s="1"/>
  <c r="J7" i="2"/>
  <c r="J6" i="2"/>
  <c r="H6" i="2"/>
  <c r="I6" i="2" s="1"/>
  <c r="J5" i="2"/>
  <c r="H5" i="2"/>
  <c r="I5" i="2" s="1"/>
  <c r="J4" i="2"/>
  <c r="H4" i="2"/>
  <c r="I4" i="2" s="1"/>
  <c r="J3" i="2"/>
  <c r="H3" i="2"/>
  <c r="I3" i="2" s="1"/>
  <c r="J2" i="2"/>
  <c r="H2" i="2"/>
  <c r="I2" i="2" s="1"/>
  <c r="J55" i="1"/>
  <c r="H55" i="1"/>
  <c r="I55" i="1" s="1"/>
  <c r="J54" i="1"/>
  <c r="H54" i="1"/>
  <c r="I54" i="1" s="1"/>
  <c r="J53" i="1"/>
  <c r="H53" i="1"/>
  <c r="I53" i="1" s="1"/>
  <c r="J52" i="1"/>
  <c r="J51" i="1"/>
  <c r="H51" i="1"/>
  <c r="I51" i="1" s="1"/>
  <c r="J50" i="1"/>
  <c r="H50" i="1"/>
  <c r="I50" i="1" s="1"/>
  <c r="J49" i="1"/>
  <c r="H49" i="1"/>
  <c r="I49" i="1" s="1"/>
  <c r="J48" i="1"/>
  <c r="H48" i="1"/>
  <c r="I48" i="1" s="1"/>
  <c r="J47" i="1"/>
  <c r="H47" i="1"/>
  <c r="I47" i="1" s="1"/>
  <c r="J46" i="1"/>
  <c r="H46" i="1"/>
  <c r="I46" i="1" s="1"/>
  <c r="J45" i="1"/>
  <c r="H45" i="1"/>
  <c r="I45" i="1" s="1"/>
  <c r="J43" i="1"/>
  <c r="H43" i="1"/>
  <c r="I43" i="1" s="1"/>
  <c r="J42" i="1"/>
  <c r="H42" i="1"/>
  <c r="I42" i="1" s="1"/>
  <c r="J41" i="1"/>
  <c r="H41" i="1"/>
  <c r="I41" i="1" s="1"/>
  <c r="J40" i="1"/>
  <c r="H40" i="1"/>
  <c r="I40" i="1" s="1"/>
  <c r="J38" i="1"/>
  <c r="H38" i="1"/>
  <c r="I38" i="1" s="1"/>
  <c r="J34" i="1"/>
  <c r="H34" i="1"/>
  <c r="I34" i="1" s="1"/>
  <c r="J33" i="1"/>
  <c r="H33" i="1"/>
  <c r="I33" i="1" s="1"/>
  <c r="J32" i="1"/>
  <c r="H32" i="1"/>
  <c r="I32" i="1" s="1"/>
  <c r="J31" i="1"/>
  <c r="H31" i="1"/>
  <c r="I31" i="1" s="1"/>
  <c r="J30" i="1"/>
  <c r="H30" i="1"/>
  <c r="I30" i="1" s="1"/>
  <c r="J29" i="1"/>
  <c r="H29" i="1"/>
  <c r="I29" i="1" s="1"/>
  <c r="J28" i="1"/>
  <c r="H28" i="1"/>
  <c r="I28" i="1" s="1"/>
  <c r="J27" i="1"/>
  <c r="J26" i="1"/>
  <c r="H26" i="1"/>
  <c r="I26" i="1" s="1"/>
  <c r="J25" i="1"/>
  <c r="H25" i="1"/>
  <c r="I25" i="1" s="1"/>
  <c r="J24" i="1"/>
  <c r="H24" i="1"/>
  <c r="I24" i="1" s="1"/>
  <c r="J20" i="1"/>
  <c r="H20" i="1"/>
  <c r="I20" i="1" s="1"/>
  <c r="J19" i="1"/>
  <c r="H19" i="1"/>
  <c r="I19" i="1" s="1"/>
  <c r="J18" i="1"/>
  <c r="H18" i="1"/>
  <c r="I18" i="1" s="1"/>
  <c r="J17" i="1"/>
  <c r="H17" i="1"/>
  <c r="I17" i="1" s="1"/>
  <c r="J13" i="1"/>
  <c r="J16" i="1"/>
  <c r="H5" i="1"/>
  <c r="I5" i="1" s="1"/>
  <c r="J5" i="1"/>
  <c r="J8" i="1"/>
  <c r="H7" i="1"/>
  <c r="I7" i="1" s="1"/>
  <c r="H8" i="1"/>
  <c r="I8" i="1" s="1"/>
  <c r="J7" i="1"/>
  <c r="H15" i="1"/>
  <c r="I15" i="1" s="1"/>
  <c r="H12" i="1"/>
  <c r="I12" i="1" s="1"/>
  <c r="H2" i="1"/>
  <c r="I2" i="1" s="1"/>
  <c r="H3" i="1"/>
  <c r="I3" i="1" s="1"/>
  <c r="J15" i="1"/>
  <c r="J12" i="1"/>
  <c r="J2" i="1"/>
  <c r="J3" i="1"/>
  <c r="H4" i="1"/>
  <c r="I4" i="1" s="1"/>
  <c r="J4" i="1"/>
  <c r="H10" i="1"/>
  <c r="I10" i="1" s="1"/>
  <c r="J10" i="1"/>
  <c r="J6" i="1"/>
  <c r="H6" i="1"/>
  <c r="I6" i="1" s="1"/>
  <c r="H9" i="1"/>
  <c r="I9" i="1" s="1"/>
  <c r="J9" i="1"/>
  <c r="H14" i="1"/>
  <c r="I14" i="1" s="1"/>
  <c r="J14" i="1"/>
  <c r="H11" i="1"/>
  <c r="I11" i="1" s="1"/>
  <c r="J11" i="1"/>
</calcChain>
</file>

<file path=xl/sharedStrings.xml><?xml version="1.0" encoding="utf-8"?>
<sst xmlns="http://schemas.openxmlformats.org/spreadsheetml/2006/main" count="170" uniqueCount="62">
  <si>
    <t>author(s) and year</t>
  </si>
  <si>
    <t>tool</t>
  </si>
  <si>
    <t>samplesize</t>
  </si>
  <si>
    <t>observed</t>
  </si>
  <si>
    <t>auc</t>
  </si>
  <si>
    <t>auc.lower</t>
  </si>
  <si>
    <t>auc.upper</t>
  </si>
  <si>
    <t>variance</t>
  </si>
  <si>
    <t>standard_error</t>
  </si>
  <si>
    <t>logit(c)</t>
  </si>
  <si>
    <t xml:space="preserve">group </t>
  </si>
  <si>
    <t>rows</t>
  </si>
  <si>
    <t xml:space="preserve">de Vogel et al. (2019) </t>
  </si>
  <si>
    <t xml:space="preserve">START: vulnerability </t>
  </si>
  <si>
    <t>START: strength</t>
  </si>
  <si>
    <t xml:space="preserve">de Vogel et al. (2004) </t>
  </si>
  <si>
    <t>Static 99</t>
  </si>
  <si>
    <t>SVR-20</t>
  </si>
  <si>
    <t xml:space="preserve">Ducro &amp; Pham (2006) </t>
  </si>
  <si>
    <t xml:space="preserve">Gray et al. (2007) </t>
  </si>
  <si>
    <t>VRAG</t>
  </si>
  <si>
    <t xml:space="preserve">Hogan &amp; Olver (2019) </t>
  </si>
  <si>
    <t>VRS</t>
  </si>
  <si>
    <t>VRAG-R</t>
  </si>
  <si>
    <t>Jung et al. (2018)</t>
  </si>
  <si>
    <t>Static 99R</t>
  </si>
  <si>
    <t>Static-2002R</t>
  </si>
  <si>
    <t xml:space="preserve">Thomson et al. (2008) </t>
  </si>
  <si>
    <t>Troquete et al. (2015)</t>
  </si>
  <si>
    <t>SORAG</t>
  </si>
  <si>
    <t xml:space="preserve">Gammelgard et al. (2015) </t>
  </si>
  <si>
    <t>SAVRY</t>
  </si>
  <si>
    <t>SAPROF</t>
  </si>
  <si>
    <t>PCL-R</t>
  </si>
  <si>
    <t xml:space="preserve">Hildebrand et al. (2004) </t>
  </si>
  <si>
    <t xml:space="preserve">Jeandarme et al. (2017) </t>
  </si>
  <si>
    <t xml:space="preserve">Schaap et al. (2009) </t>
  </si>
  <si>
    <t>Stadtland et al. (2005)</t>
  </si>
  <si>
    <t xml:space="preserve">Wallinius et al. (2012) </t>
  </si>
  <si>
    <t xml:space="preserve">Barber-Rioja et al. (2012) </t>
  </si>
  <si>
    <t>PCL:SV</t>
  </si>
  <si>
    <t xml:space="preserve">Pedersen et al. (2010) </t>
  </si>
  <si>
    <t>OGRS</t>
  </si>
  <si>
    <t xml:space="preserve">Ferguson et al. (2009) </t>
  </si>
  <si>
    <t>LSI-R:SV</t>
  </si>
  <si>
    <t xml:space="preserve">Canales et al. (2014) </t>
  </si>
  <si>
    <t>LS/RNR (SR/N)</t>
  </si>
  <si>
    <t>LS/RNR (GR/N)</t>
  </si>
  <si>
    <t>HCR20v3</t>
  </si>
  <si>
    <t>HCR20v2</t>
  </si>
  <si>
    <t xml:space="preserve">Shepherd et al. (2018) </t>
  </si>
  <si>
    <t>H10</t>
  </si>
  <si>
    <t>FAM</t>
  </si>
  <si>
    <t>CAPP</t>
  </si>
  <si>
    <t>BARR-2002R</t>
  </si>
  <si>
    <t>Coid et al. (2016)</t>
  </si>
  <si>
    <t>PIV</t>
  </si>
  <si>
    <t>PANSS</t>
  </si>
  <si>
    <t>OGSR2</t>
  </si>
  <si>
    <t>MSRAG</t>
  </si>
  <si>
    <t>RM2000V</t>
  </si>
  <si>
    <t>Gray et al. (2007)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</si>
</sst>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Garamond"/>
      <family val="1"/>
    </font>
    <font>
      <sz val="11"/>
      <color theme="1"/>
      <name val="Garamond"/>
      <family val="1"/>
    </font>
    <font>
      <b/>
      <sz val="11"/>
      <color rgb="FF000000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83" workbookViewId="0">
      <pane ySplit="1" topLeftCell="A2" activePane="bottomLeft" state="frozen"/>
      <selection pane="bottomLeft" activeCell="J19" sqref="J19"/>
    </sheetView>
  </sheetViews>
  <sheetFormatPr baseColWidth="10" defaultColWidth="8.83203125" defaultRowHeight="15" x14ac:dyDescent="0.2"/>
  <cols>
    <col min="1" max="1" width="38.33203125" customWidth="1"/>
    <col min="2" max="2" width="11.83203125" customWidth="1"/>
    <col min="3" max="3" width="9.83203125" style="4" bestFit="1" customWidth="1"/>
    <col min="4" max="4" width="8.5" style="4" bestFit="1" customWidth="1"/>
    <col min="5" max="5" width="5.33203125" customWidth="1"/>
    <col min="6" max="6" width="9" bestFit="1" customWidth="1"/>
    <col min="7" max="7" width="9.1640625" bestFit="1" customWidth="1"/>
    <col min="8" max="8" width="7.83203125" bestFit="1" customWidth="1"/>
    <col min="9" max="9" width="13.6640625" bestFit="1" customWidth="1"/>
    <col min="10" max="10" width="6.5" bestFit="1" customWidth="1"/>
    <col min="11" max="11" width="6.1640625" bestFit="1" customWidth="1"/>
    <col min="12" max="12" width="4.83203125" bestFit="1" customWidth="1"/>
  </cols>
  <sheetData>
    <row r="1" spans="1:12" s="2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</row>
    <row r="2" spans="1:12" x14ac:dyDescent="0.2">
      <c r="A2" s="6" t="s">
        <v>21</v>
      </c>
      <c r="B2" s="7" t="s">
        <v>22</v>
      </c>
      <c r="C2" s="8">
        <v>66</v>
      </c>
      <c r="D2" s="8">
        <v>18</v>
      </c>
      <c r="E2" s="7">
        <v>0.67</v>
      </c>
      <c r="F2" s="7">
        <v>0.5</v>
      </c>
      <c r="G2" s="7">
        <v>0.85</v>
      </c>
      <c r="H2" s="7">
        <f t="shared" ref="H2:H12" si="0">(1+(C2/2-1)*(1-E2)/(2-E2)+(C2/2-1)*E2/(1+E2))/(E2*(1-E2)*D2*(C2-D2))</f>
        <v>0.11400370295698257</v>
      </c>
      <c r="I2" s="7">
        <f t="shared" ref="I2:I12" si="1">SQRT(H2)</f>
        <v>0.33764434388418618</v>
      </c>
      <c r="J2" s="7">
        <f t="shared" ref="J2:J55" si="2">LN(E2)-LN(1-E2)</f>
        <v>0.70818505792448616</v>
      </c>
      <c r="K2" s="7">
        <v>1</v>
      </c>
      <c r="L2" s="7">
        <v>0</v>
      </c>
    </row>
    <row r="3" spans="1:12" x14ac:dyDescent="0.2">
      <c r="A3" s="6" t="s">
        <v>21</v>
      </c>
      <c r="B3" s="7" t="s">
        <v>23</v>
      </c>
      <c r="C3" s="8">
        <v>65</v>
      </c>
      <c r="D3" s="8">
        <v>18</v>
      </c>
      <c r="E3" s="7">
        <v>0.7</v>
      </c>
      <c r="F3" s="7">
        <v>0.55000000000000004</v>
      </c>
      <c r="G3" s="7">
        <v>0.85</v>
      </c>
      <c r="H3" s="7">
        <f t="shared" si="0"/>
        <v>0.119553185886102</v>
      </c>
      <c r="I3" s="7">
        <f t="shared" si="1"/>
        <v>0.34576463943859559</v>
      </c>
      <c r="J3" s="7">
        <f t="shared" si="2"/>
        <v>0.84729786038720345</v>
      </c>
      <c r="K3" s="7">
        <v>1</v>
      </c>
      <c r="L3" s="7">
        <v>3</v>
      </c>
    </row>
    <row r="4" spans="1:12" x14ac:dyDescent="0.2">
      <c r="A4" s="6" t="s">
        <v>61</v>
      </c>
      <c r="B4" s="7" t="s">
        <v>20</v>
      </c>
      <c r="C4" s="9">
        <v>320</v>
      </c>
      <c r="D4" s="9">
        <v>59</v>
      </c>
      <c r="E4" s="7">
        <v>0.73</v>
      </c>
      <c r="F4" s="7">
        <v>0.65</v>
      </c>
      <c r="G4" s="7">
        <v>0.79</v>
      </c>
      <c r="H4" s="7">
        <f t="shared" si="0"/>
        <v>3.3571939942410013E-2</v>
      </c>
      <c r="I4" s="7">
        <f t="shared" si="1"/>
        <v>0.18322647172941472</v>
      </c>
      <c r="J4" s="7">
        <f t="shared" si="2"/>
        <v>0.99462257514406205</v>
      </c>
      <c r="K4" s="7">
        <v>2</v>
      </c>
      <c r="L4" s="7">
        <v>6</v>
      </c>
    </row>
    <row r="5" spans="1:12" x14ac:dyDescent="0.2">
      <c r="A5" s="6" t="s">
        <v>27</v>
      </c>
      <c r="B5" s="7" t="s">
        <v>20</v>
      </c>
      <c r="C5" s="8">
        <v>54</v>
      </c>
      <c r="D5" s="8">
        <v>17</v>
      </c>
      <c r="E5" s="7">
        <v>0.76</v>
      </c>
      <c r="F5" s="7">
        <v>0.6</v>
      </c>
      <c r="G5" s="7">
        <v>0.87</v>
      </c>
      <c r="H5" s="7">
        <f t="shared" si="0"/>
        <v>0.15043659867888373</v>
      </c>
      <c r="I5" s="7">
        <f t="shared" si="1"/>
        <v>0.38786157154181145</v>
      </c>
      <c r="J5" s="7">
        <f t="shared" si="2"/>
        <v>1.1526795099383855</v>
      </c>
      <c r="K5" s="7">
        <v>2</v>
      </c>
      <c r="L5" s="7">
        <v>7</v>
      </c>
    </row>
    <row r="6" spans="1:12" x14ac:dyDescent="0.2">
      <c r="A6" s="6" t="s">
        <v>15</v>
      </c>
      <c r="B6" s="7" t="s">
        <v>17</v>
      </c>
      <c r="C6" s="9">
        <v>89</v>
      </c>
      <c r="D6" s="9">
        <v>34</v>
      </c>
      <c r="E6" s="7">
        <v>0.71</v>
      </c>
      <c r="F6" s="7">
        <v>0.59</v>
      </c>
      <c r="G6" s="7">
        <v>0.81</v>
      </c>
      <c r="H6" s="7">
        <f t="shared" si="0"/>
        <v>7.4903899863683843E-2</v>
      </c>
      <c r="I6" s="7">
        <f t="shared" si="1"/>
        <v>0.27368576847122295</v>
      </c>
      <c r="J6" s="7">
        <f t="shared" si="2"/>
        <v>0.8953840470548412</v>
      </c>
      <c r="K6" s="7">
        <v>2</v>
      </c>
      <c r="L6" s="7">
        <v>10</v>
      </c>
    </row>
    <row r="7" spans="1:12" x14ac:dyDescent="0.2">
      <c r="A7" s="6" t="s">
        <v>24</v>
      </c>
      <c r="B7" s="7" t="s">
        <v>26</v>
      </c>
      <c r="C7" s="8">
        <v>264</v>
      </c>
      <c r="D7" s="8">
        <v>26</v>
      </c>
      <c r="E7" s="7">
        <v>0.77</v>
      </c>
      <c r="F7" s="7">
        <v>0.68</v>
      </c>
      <c r="G7" s="7">
        <v>0.86</v>
      </c>
      <c r="H7" s="7">
        <f t="shared" si="0"/>
        <v>7.5266928471894715E-2</v>
      </c>
      <c r="I7" s="7">
        <f t="shared" si="1"/>
        <v>0.27434818838821357</v>
      </c>
      <c r="J7" s="7">
        <f t="shared" si="2"/>
        <v>1.2083112059245342</v>
      </c>
      <c r="K7" s="7">
        <v>1</v>
      </c>
      <c r="L7" s="7">
        <v>13</v>
      </c>
    </row>
    <row r="8" spans="1:12" x14ac:dyDescent="0.2">
      <c r="A8" s="6" t="s">
        <v>24</v>
      </c>
      <c r="B8" s="7" t="s">
        <v>25</v>
      </c>
      <c r="C8" s="8">
        <v>245</v>
      </c>
      <c r="D8" s="8">
        <v>23</v>
      </c>
      <c r="E8" s="7">
        <v>0.74</v>
      </c>
      <c r="F8" s="7">
        <v>0.63</v>
      </c>
      <c r="G8" s="7">
        <v>0.84</v>
      </c>
      <c r="H8" s="7">
        <f t="shared" si="0"/>
        <v>7.9137098465272213E-2</v>
      </c>
      <c r="I8" s="7">
        <f t="shared" si="1"/>
        <v>0.2813131679557006</v>
      </c>
      <c r="J8" s="7">
        <f t="shared" si="2"/>
        <v>1.0459685551826876</v>
      </c>
      <c r="K8" s="7">
        <v>1</v>
      </c>
      <c r="L8" s="7">
        <v>16</v>
      </c>
    </row>
    <row r="9" spans="1:12" x14ac:dyDescent="0.2">
      <c r="A9" s="6" t="s">
        <v>15</v>
      </c>
      <c r="B9" s="7" t="s">
        <v>16</v>
      </c>
      <c r="C9" s="9">
        <v>89</v>
      </c>
      <c r="D9" s="9">
        <v>34</v>
      </c>
      <c r="E9" s="7">
        <v>0.56999999999999995</v>
      </c>
      <c r="F9" s="7">
        <v>0.45</v>
      </c>
      <c r="G9" s="7">
        <v>0.69</v>
      </c>
      <c r="H9" s="7">
        <f t="shared" si="0"/>
        <v>6.5177834674034235E-2</v>
      </c>
      <c r="I9" s="7">
        <f t="shared" si="1"/>
        <v>0.25529949994865686</v>
      </c>
      <c r="J9" s="7">
        <f t="shared" si="2"/>
        <v>0.28185115214098755</v>
      </c>
      <c r="K9" s="7">
        <v>2</v>
      </c>
      <c r="L9" s="7">
        <v>19</v>
      </c>
    </row>
    <row r="10" spans="1:12" x14ac:dyDescent="0.2">
      <c r="A10" s="6" t="s">
        <v>18</v>
      </c>
      <c r="B10" s="7" t="s">
        <v>16</v>
      </c>
      <c r="C10" s="9">
        <v>135</v>
      </c>
      <c r="D10" s="9">
        <v>63</v>
      </c>
      <c r="E10" s="7">
        <v>0.7</v>
      </c>
      <c r="F10" s="7">
        <v>0.61</v>
      </c>
      <c r="G10" s="7">
        <v>0.8</v>
      </c>
      <c r="H10" s="7">
        <f t="shared" si="0"/>
        <v>4.5906301741969344E-2</v>
      </c>
      <c r="I10" s="7">
        <f t="shared" si="1"/>
        <v>0.21425755935781904</v>
      </c>
      <c r="J10" s="7">
        <f t="shared" si="2"/>
        <v>0.84729786038720345</v>
      </c>
      <c r="K10" s="7">
        <v>1</v>
      </c>
      <c r="L10" s="7">
        <v>20</v>
      </c>
    </row>
    <row r="11" spans="1:12" x14ac:dyDescent="0.2">
      <c r="A11" s="6" t="s">
        <v>12</v>
      </c>
      <c r="B11" s="7" t="s">
        <v>13</v>
      </c>
      <c r="C11" s="9">
        <v>71</v>
      </c>
      <c r="D11" s="9">
        <v>11</v>
      </c>
      <c r="E11" s="7">
        <v>0.7</v>
      </c>
      <c r="F11" s="7">
        <v>0.55000000000000004</v>
      </c>
      <c r="G11" s="7">
        <v>0.82</v>
      </c>
      <c r="H11" s="7">
        <f t="shared" si="0"/>
        <v>0.16715310832957894</v>
      </c>
      <c r="I11" s="7">
        <f t="shared" si="1"/>
        <v>0.40884362332018698</v>
      </c>
      <c r="J11" s="7">
        <f t="shared" si="2"/>
        <v>0.84729786038720345</v>
      </c>
      <c r="K11" s="7">
        <v>1</v>
      </c>
      <c r="L11" s="7">
        <v>23</v>
      </c>
    </row>
    <row r="12" spans="1:12" x14ac:dyDescent="0.2">
      <c r="A12" s="6" t="s">
        <v>21</v>
      </c>
      <c r="B12" s="7" t="s">
        <v>13</v>
      </c>
      <c r="C12" s="8">
        <v>80</v>
      </c>
      <c r="D12" s="8">
        <v>22</v>
      </c>
      <c r="E12" s="7">
        <v>0.63</v>
      </c>
      <c r="F12" s="7">
        <v>0.49</v>
      </c>
      <c r="G12" s="7">
        <v>0.78</v>
      </c>
      <c r="H12" s="7">
        <f t="shared" si="0"/>
        <v>8.9452864240966157E-2</v>
      </c>
      <c r="I12" s="7">
        <f t="shared" si="1"/>
        <v>0.29908671692498506</v>
      </c>
      <c r="J12" s="7">
        <f t="shared" si="2"/>
        <v>0.53221681374730823</v>
      </c>
      <c r="K12" s="7">
        <v>1</v>
      </c>
      <c r="L12" s="7">
        <v>24</v>
      </c>
    </row>
    <row r="13" spans="1:12" x14ac:dyDescent="0.2">
      <c r="A13" s="6" t="s">
        <v>28</v>
      </c>
      <c r="B13" s="7" t="s">
        <v>13</v>
      </c>
      <c r="C13" s="8">
        <v>163</v>
      </c>
      <c r="D13" s="8"/>
      <c r="E13" s="7">
        <v>0.59</v>
      </c>
      <c r="F13" s="7">
        <v>0.48</v>
      </c>
      <c r="G13" s="7">
        <v>0.69</v>
      </c>
      <c r="H13" s="7"/>
      <c r="I13" s="7"/>
      <c r="J13" s="7">
        <f t="shared" si="2"/>
        <v>0.36396537720141153</v>
      </c>
      <c r="K13" s="7">
        <v>1</v>
      </c>
      <c r="L13" s="7">
        <v>25</v>
      </c>
    </row>
    <row r="14" spans="1:12" x14ac:dyDescent="0.2">
      <c r="A14" s="6" t="s">
        <v>12</v>
      </c>
      <c r="B14" s="7" t="s">
        <v>14</v>
      </c>
      <c r="C14" s="9">
        <v>71</v>
      </c>
      <c r="D14" s="9">
        <v>11</v>
      </c>
      <c r="E14" s="7">
        <v>0.39</v>
      </c>
      <c r="F14" s="7">
        <v>0.24</v>
      </c>
      <c r="G14" s="7">
        <v>0.55000000000000004</v>
      </c>
      <c r="H14" s="7">
        <f>(1+(C14/2-1)*(1-E14)/(2-E14)+(C14/2-1)*E14/(1+E14))/(E14*(1-E14)*D14*(C14-D14))</f>
        <v>0.15126857914922545</v>
      </c>
      <c r="I14" s="7">
        <f>SQRT(H14)</f>
        <v>0.38893261517803501</v>
      </c>
      <c r="J14" s="7">
        <f t="shared" si="2"/>
        <v>-0.44731221804366483</v>
      </c>
      <c r="K14" s="7">
        <v>1</v>
      </c>
      <c r="L14" s="7">
        <v>28</v>
      </c>
    </row>
    <row r="15" spans="1:12" x14ac:dyDescent="0.2">
      <c r="A15" s="6" t="s">
        <v>21</v>
      </c>
      <c r="B15" s="7" t="s">
        <v>14</v>
      </c>
      <c r="C15" s="8">
        <v>79</v>
      </c>
      <c r="D15" s="8">
        <v>22</v>
      </c>
      <c r="E15" s="7">
        <v>0.64</v>
      </c>
      <c r="F15" s="7">
        <v>0.48</v>
      </c>
      <c r="G15" s="7">
        <v>0.8</v>
      </c>
      <c r="H15" s="7">
        <f>(1+(C15/2-1)*(1-E15)/(2-E15)+(C15/2-1)*E15/(1+E15))/(E15*(1-E15)*D15*(C15-D15))</f>
        <v>9.0735918375402458E-2</v>
      </c>
      <c r="I15" s="7">
        <f>SQRT(H15)</f>
        <v>0.30122403352887112</v>
      </c>
      <c r="J15" s="7">
        <f t="shared" si="2"/>
        <v>0.57536414490356202</v>
      </c>
      <c r="K15" s="7">
        <v>1</v>
      </c>
      <c r="L15" s="7">
        <v>29</v>
      </c>
    </row>
    <row r="16" spans="1:12" x14ac:dyDescent="0.2">
      <c r="A16" s="6" t="s">
        <v>28</v>
      </c>
      <c r="B16" s="7" t="s">
        <v>14</v>
      </c>
      <c r="C16" s="8">
        <v>163</v>
      </c>
      <c r="D16" s="8"/>
      <c r="E16" s="7">
        <v>0.59</v>
      </c>
      <c r="F16" s="7">
        <v>0.48</v>
      </c>
      <c r="G16" s="7">
        <v>0.69</v>
      </c>
      <c r="H16" s="7"/>
      <c r="I16" s="7"/>
      <c r="J16" s="7">
        <f t="shared" si="2"/>
        <v>0.36396537720141153</v>
      </c>
      <c r="K16" s="7">
        <v>1</v>
      </c>
      <c r="L16" s="7">
        <v>30</v>
      </c>
    </row>
    <row r="17" spans="1:12" x14ac:dyDescent="0.2">
      <c r="A17" s="6" t="s">
        <v>18</v>
      </c>
      <c r="B17" s="7" t="s">
        <v>29</v>
      </c>
      <c r="C17" s="9">
        <v>135</v>
      </c>
      <c r="D17" s="9">
        <v>63</v>
      </c>
      <c r="E17" s="7">
        <v>0.7</v>
      </c>
      <c r="F17" s="7">
        <v>0.6</v>
      </c>
      <c r="G17" s="7">
        <v>0.79</v>
      </c>
      <c r="H17" s="7">
        <f t="shared" ref="H17:H26" si="3">(1+(C17/2-1)*(1-E17)/(2-E17)+(C17/2-1)*E17/(1+E17))/(E17*(1-E17)*D17*(C17-D17))</f>
        <v>4.5906301741969344E-2</v>
      </c>
      <c r="I17" s="7">
        <f t="shared" ref="I17:I26" si="4">SQRT(H17)</f>
        <v>0.21425755935781904</v>
      </c>
      <c r="J17" s="7">
        <f t="shared" si="2"/>
        <v>0.84729786038720345</v>
      </c>
      <c r="K17" s="7">
        <v>1</v>
      </c>
      <c r="L17" s="7">
        <v>33</v>
      </c>
    </row>
    <row r="18" spans="1:12" x14ac:dyDescent="0.2">
      <c r="A18" s="6" t="s">
        <v>24</v>
      </c>
      <c r="B18" s="7" t="s">
        <v>29</v>
      </c>
      <c r="C18" s="8">
        <v>88</v>
      </c>
      <c r="D18" s="8">
        <v>13</v>
      </c>
      <c r="E18" s="7">
        <v>0.83</v>
      </c>
      <c r="F18" s="7">
        <v>0.74</v>
      </c>
      <c r="G18" s="7">
        <v>0.92</v>
      </c>
      <c r="H18" s="7">
        <f t="shared" si="3"/>
        <v>0.19444725863308729</v>
      </c>
      <c r="I18" s="7">
        <f t="shared" si="4"/>
        <v>0.44096174282253475</v>
      </c>
      <c r="J18" s="7">
        <f t="shared" si="2"/>
        <v>1.5856272637403814</v>
      </c>
      <c r="K18" s="7">
        <v>1</v>
      </c>
      <c r="L18" s="7">
        <v>34</v>
      </c>
    </row>
    <row r="19" spans="1:12" x14ac:dyDescent="0.2">
      <c r="A19" s="6" t="s">
        <v>30</v>
      </c>
      <c r="B19" s="7" t="s">
        <v>31</v>
      </c>
      <c r="C19" s="9">
        <v>65</v>
      </c>
      <c r="D19" s="9">
        <v>8</v>
      </c>
      <c r="E19" s="7">
        <v>0.66</v>
      </c>
      <c r="F19" s="7">
        <v>0.47</v>
      </c>
      <c r="G19" s="7">
        <v>0.85</v>
      </c>
      <c r="H19" s="7">
        <f t="shared" si="3"/>
        <v>0.2102745107711696</v>
      </c>
      <c r="I19" s="7">
        <f t="shared" si="4"/>
        <v>0.4585569874848377</v>
      </c>
      <c r="J19" s="7">
        <f t="shared" si="2"/>
        <v>0.66329421741026429</v>
      </c>
      <c r="K19" s="7">
        <v>1</v>
      </c>
      <c r="L19" s="7">
        <v>37</v>
      </c>
    </row>
    <row r="20" spans="1:12" x14ac:dyDescent="0.2">
      <c r="A20" s="6" t="s">
        <v>12</v>
      </c>
      <c r="B20" s="7" t="s">
        <v>32</v>
      </c>
      <c r="C20" s="9">
        <v>71</v>
      </c>
      <c r="D20" s="9">
        <v>11</v>
      </c>
      <c r="E20" s="7">
        <v>0.43</v>
      </c>
      <c r="F20" s="7">
        <v>0.28999999999999998</v>
      </c>
      <c r="G20" s="7">
        <v>0.57999999999999996</v>
      </c>
      <c r="H20" s="7">
        <f t="shared" si="3"/>
        <v>0.14774182202151406</v>
      </c>
      <c r="I20" s="7">
        <f t="shared" si="4"/>
        <v>0.38437198391859162</v>
      </c>
      <c r="J20" s="7">
        <f t="shared" si="2"/>
        <v>-0.28185115214098788</v>
      </c>
      <c r="K20" s="7">
        <v>1</v>
      </c>
      <c r="L20" s="7">
        <v>40</v>
      </c>
    </row>
    <row r="21" spans="1:12" x14ac:dyDescent="0.2">
      <c r="A21" s="6" t="s">
        <v>55</v>
      </c>
      <c r="B21" s="7" t="s">
        <v>32</v>
      </c>
      <c r="C21" s="9">
        <v>387</v>
      </c>
      <c r="D21" s="9">
        <v>48</v>
      </c>
      <c r="E21" s="7">
        <v>0.78</v>
      </c>
      <c r="F21" s="7">
        <v>0.71</v>
      </c>
      <c r="G21" s="7">
        <v>0.85</v>
      </c>
      <c r="H21" s="7">
        <f t="shared" si="3"/>
        <v>4.2999718415422682E-2</v>
      </c>
      <c r="I21" s="7">
        <f t="shared" si="4"/>
        <v>0.20736373457145943</v>
      </c>
      <c r="J21" s="7">
        <f t="shared" si="2"/>
        <v>1.2656663733312761</v>
      </c>
      <c r="K21" s="7">
        <v>1</v>
      </c>
      <c r="L21" s="7">
        <v>41</v>
      </c>
    </row>
    <row r="22" spans="1:12" x14ac:dyDescent="0.2">
      <c r="A22" s="6" t="s">
        <v>55</v>
      </c>
      <c r="B22" s="7" t="s">
        <v>60</v>
      </c>
      <c r="C22" s="9">
        <v>387</v>
      </c>
      <c r="D22" s="9">
        <v>48</v>
      </c>
      <c r="E22" s="9">
        <v>0.75</v>
      </c>
      <c r="F22" s="9">
        <v>0.68</v>
      </c>
      <c r="G22" s="7">
        <v>0.81</v>
      </c>
      <c r="H22" s="7">
        <f t="shared" si="3"/>
        <v>3.9986889544411666E-2</v>
      </c>
      <c r="I22" s="7">
        <f t="shared" si="4"/>
        <v>0.19996722117490073</v>
      </c>
      <c r="J22" s="7">
        <f t="shared" si="2"/>
        <v>1.0986122886681096</v>
      </c>
      <c r="K22" s="7">
        <v>1</v>
      </c>
      <c r="L22" s="7">
        <v>44</v>
      </c>
    </row>
    <row r="23" spans="1:12" x14ac:dyDescent="0.2">
      <c r="A23" s="6" t="s">
        <v>55</v>
      </c>
      <c r="B23" s="7" t="s">
        <v>56</v>
      </c>
      <c r="C23" s="9">
        <v>387</v>
      </c>
      <c r="D23" s="9">
        <v>48</v>
      </c>
      <c r="E23" s="7">
        <v>0.77</v>
      </c>
      <c r="F23" s="7">
        <v>0.7</v>
      </c>
      <c r="G23" s="7">
        <v>0.84</v>
      </c>
      <c r="H23" s="7">
        <f t="shared" si="3"/>
        <v>4.1897452793079805E-2</v>
      </c>
      <c r="I23" s="7">
        <f t="shared" si="4"/>
        <v>0.20468867284996453</v>
      </c>
      <c r="J23" s="7">
        <f t="shared" si="2"/>
        <v>1.2083112059245342</v>
      </c>
      <c r="K23" s="7">
        <v>1</v>
      </c>
      <c r="L23" s="7">
        <v>47</v>
      </c>
    </row>
    <row r="24" spans="1:12" x14ac:dyDescent="0.2">
      <c r="A24" s="6" t="s">
        <v>12</v>
      </c>
      <c r="B24" s="7" t="s">
        <v>33</v>
      </c>
      <c r="C24" s="9">
        <v>71</v>
      </c>
      <c r="D24" s="9">
        <v>11</v>
      </c>
      <c r="E24" s="7">
        <v>0.6</v>
      </c>
      <c r="F24" s="7">
        <v>0.46</v>
      </c>
      <c r="G24" s="7">
        <v>0.75</v>
      </c>
      <c r="H24" s="7">
        <f t="shared" si="3"/>
        <v>0.1502187049062049</v>
      </c>
      <c r="I24" s="7">
        <f t="shared" si="4"/>
        <v>0.38758057859779932</v>
      </c>
      <c r="J24" s="7">
        <f t="shared" si="2"/>
        <v>0.40546510810816427</v>
      </c>
      <c r="K24" s="7">
        <v>1</v>
      </c>
      <c r="L24" s="7">
        <v>50</v>
      </c>
    </row>
    <row r="25" spans="1:12" x14ac:dyDescent="0.2">
      <c r="A25" s="6" t="s">
        <v>34</v>
      </c>
      <c r="B25" s="7" t="s">
        <v>33</v>
      </c>
      <c r="C25" s="9">
        <v>94</v>
      </c>
      <c r="D25" s="9">
        <v>69</v>
      </c>
      <c r="E25" s="7">
        <v>0.74</v>
      </c>
      <c r="F25" s="7">
        <v>0.63</v>
      </c>
      <c r="G25" s="7">
        <v>0.84</v>
      </c>
      <c r="H25" s="7">
        <f t="shared" si="3"/>
        <v>9.0557961622429364E-2</v>
      </c>
      <c r="I25" s="7">
        <f t="shared" si="4"/>
        <v>0.30092849918615111</v>
      </c>
      <c r="J25" s="7">
        <f t="shared" si="2"/>
        <v>1.0459685551826876</v>
      </c>
      <c r="K25" s="7">
        <v>1</v>
      </c>
      <c r="L25" s="7">
        <v>51</v>
      </c>
    </row>
    <row r="26" spans="1:12" x14ac:dyDescent="0.2">
      <c r="A26" s="6" t="s">
        <v>21</v>
      </c>
      <c r="B26" s="7" t="s">
        <v>33</v>
      </c>
      <c r="C26" s="8">
        <v>66</v>
      </c>
      <c r="D26" s="8">
        <v>18</v>
      </c>
      <c r="E26" s="7">
        <v>0.69</v>
      </c>
      <c r="F26" s="7">
        <v>0.52</v>
      </c>
      <c r="G26" s="7">
        <v>0.85</v>
      </c>
      <c r="H26" s="7">
        <f t="shared" si="3"/>
        <v>0.1170805404122184</v>
      </c>
      <c r="I26" s="7">
        <f t="shared" si="4"/>
        <v>0.34217033829982751</v>
      </c>
      <c r="J26" s="7">
        <f t="shared" si="2"/>
        <v>0.80011930011211274</v>
      </c>
      <c r="K26" s="7">
        <v>1</v>
      </c>
      <c r="L26" s="7">
        <v>52</v>
      </c>
    </row>
    <row r="27" spans="1:12" x14ac:dyDescent="0.2">
      <c r="A27" s="6" t="s">
        <v>35</v>
      </c>
      <c r="B27" s="7" t="s">
        <v>33</v>
      </c>
      <c r="C27" s="8">
        <v>162</v>
      </c>
      <c r="D27" s="8"/>
      <c r="E27" s="7">
        <v>0.57999999999999996</v>
      </c>
      <c r="F27" s="7">
        <v>0.49</v>
      </c>
      <c r="G27" s="7">
        <v>0.67</v>
      </c>
      <c r="H27" s="7"/>
      <c r="I27" s="7"/>
      <c r="J27" s="7">
        <f t="shared" si="2"/>
        <v>0.3227733922630508</v>
      </c>
      <c r="K27" s="7">
        <v>1</v>
      </c>
      <c r="L27" s="7">
        <v>53</v>
      </c>
    </row>
    <row r="28" spans="1:12" x14ac:dyDescent="0.2">
      <c r="A28" s="6" t="s">
        <v>36</v>
      </c>
      <c r="B28" s="7" t="s">
        <v>33</v>
      </c>
      <c r="C28" s="9">
        <v>45</v>
      </c>
      <c r="D28" s="9">
        <v>16</v>
      </c>
      <c r="E28" s="7">
        <v>0.56999999999999995</v>
      </c>
      <c r="F28" s="7">
        <v>0.39</v>
      </c>
      <c r="G28" s="7">
        <v>0.73</v>
      </c>
      <c r="H28" s="7">
        <f t="shared" ref="H28:H51" si="5">(1+(C28/2-1)*(1-E28)/(2-E28)+(C28/2-1)*E28/(1+E28))/(E28*(1-E28)*D28*(C28-D28))</f>
        <v>0.13427636370369059</v>
      </c>
      <c r="I28" s="7">
        <f t="shared" ref="I28:I51" si="6">SQRT(H28)</f>
        <v>0.36643739397568392</v>
      </c>
      <c r="J28" s="7">
        <f t="shared" si="2"/>
        <v>0.28185115214098755</v>
      </c>
      <c r="K28" s="7">
        <v>2</v>
      </c>
      <c r="L28" s="7">
        <v>54</v>
      </c>
    </row>
    <row r="29" spans="1:12" x14ac:dyDescent="0.2">
      <c r="A29" s="6" t="s">
        <v>37</v>
      </c>
      <c r="B29" s="7" t="s">
        <v>33</v>
      </c>
      <c r="C29" s="8">
        <v>71</v>
      </c>
      <c r="D29" s="8">
        <v>13</v>
      </c>
      <c r="E29" s="7">
        <v>0.46</v>
      </c>
      <c r="F29" s="7">
        <v>0.28999999999999998</v>
      </c>
      <c r="G29" s="7">
        <v>0.63</v>
      </c>
      <c r="H29" s="7">
        <f t="shared" si="5"/>
        <v>0.12796628187562856</v>
      </c>
      <c r="I29" s="7">
        <f t="shared" si="6"/>
        <v>0.35772375078491581</v>
      </c>
      <c r="J29" s="7">
        <f t="shared" si="2"/>
        <v>-0.16034265007517934</v>
      </c>
      <c r="K29" s="7">
        <v>1</v>
      </c>
      <c r="L29" s="7">
        <v>55</v>
      </c>
    </row>
    <row r="30" spans="1:12" x14ac:dyDescent="0.2">
      <c r="A30" s="6" t="s">
        <v>27</v>
      </c>
      <c r="B30" s="7" t="s">
        <v>33</v>
      </c>
      <c r="C30" s="8">
        <v>54</v>
      </c>
      <c r="D30" s="8">
        <v>17</v>
      </c>
      <c r="E30" s="7">
        <v>0.78</v>
      </c>
      <c r="F30" s="7">
        <v>0.62</v>
      </c>
      <c r="G30" s="7">
        <v>0.89</v>
      </c>
      <c r="H30" s="7">
        <f t="shared" si="5"/>
        <v>0.15825785385773689</v>
      </c>
      <c r="I30" s="7">
        <f t="shared" si="6"/>
        <v>0.39781635695096412</v>
      </c>
      <c r="J30" s="7">
        <f t="shared" si="2"/>
        <v>1.2656663733312761</v>
      </c>
      <c r="K30" s="7">
        <v>2</v>
      </c>
      <c r="L30" s="7">
        <v>56</v>
      </c>
    </row>
    <row r="31" spans="1:12" x14ac:dyDescent="0.2">
      <c r="A31" s="6" t="s">
        <v>38</v>
      </c>
      <c r="B31" s="7" t="s">
        <v>33</v>
      </c>
      <c r="C31" s="8">
        <v>153</v>
      </c>
      <c r="D31" s="8">
        <v>22</v>
      </c>
      <c r="E31" s="7">
        <v>0.78</v>
      </c>
      <c r="F31" s="7">
        <v>0.7</v>
      </c>
      <c r="G31" s="7">
        <v>0.85</v>
      </c>
      <c r="H31" s="7">
        <f t="shared" si="5"/>
        <v>9.6449111358504466E-2</v>
      </c>
      <c r="I31" s="7">
        <f t="shared" si="6"/>
        <v>0.31056257237230706</v>
      </c>
      <c r="J31" s="7">
        <f t="shared" si="2"/>
        <v>1.2656663733312761</v>
      </c>
      <c r="K31" s="7">
        <v>1</v>
      </c>
      <c r="L31" s="7">
        <v>57</v>
      </c>
    </row>
    <row r="32" spans="1:12" x14ac:dyDescent="0.2">
      <c r="A32" s="6" t="s">
        <v>39</v>
      </c>
      <c r="B32" s="7" t="s">
        <v>40</v>
      </c>
      <c r="C32" s="9">
        <v>131</v>
      </c>
      <c r="D32" s="9">
        <v>51</v>
      </c>
      <c r="E32" s="7">
        <v>0.68</v>
      </c>
      <c r="F32" s="7">
        <v>0.57999999999999996</v>
      </c>
      <c r="G32" s="7">
        <v>0.77</v>
      </c>
      <c r="H32" s="7">
        <f t="shared" si="5"/>
        <v>4.8144989111954944E-2</v>
      </c>
      <c r="I32" s="7">
        <f t="shared" si="6"/>
        <v>0.21941966436934257</v>
      </c>
      <c r="J32" s="7">
        <f t="shared" si="2"/>
        <v>0.75377180237638042</v>
      </c>
      <c r="K32" s="7">
        <v>1</v>
      </c>
      <c r="L32" s="7">
        <v>60</v>
      </c>
    </row>
    <row r="33" spans="1:12" x14ac:dyDescent="0.2">
      <c r="A33" s="6" t="s">
        <v>61</v>
      </c>
      <c r="B33" s="7" t="s">
        <v>40</v>
      </c>
      <c r="C33" s="9">
        <v>566</v>
      </c>
      <c r="D33" s="9">
        <v>105</v>
      </c>
      <c r="E33" s="7">
        <v>0.7</v>
      </c>
      <c r="F33" s="7">
        <v>0.64</v>
      </c>
      <c r="G33" s="7">
        <v>0.75</v>
      </c>
      <c r="H33" s="7">
        <f t="shared" si="5"/>
        <v>1.7923627541010283E-2</v>
      </c>
      <c r="I33" s="7">
        <f t="shared" si="6"/>
        <v>0.13387915274982243</v>
      </c>
      <c r="J33" s="7">
        <f t="shared" si="2"/>
        <v>0.84729786038720345</v>
      </c>
      <c r="K33" s="7">
        <v>2</v>
      </c>
      <c r="L33" s="7">
        <v>61</v>
      </c>
    </row>
    <row r="34" spans="1:12" x14ac:dyDescent="0.2">
      <c r="A34" s="6" t="s">
        <v>41</v>
      </c>
      <c r="B34" s="7" t="s">
        <v>40</v>
      </c>
      <c r="C34" s="8">
        <v>96</v>
      </c>
      <c r="D34" s="8">
        <v>27</v>
      </c>
      <c r="E34" s="7">
        <v>0.69</v>
      </c>
      <c r="F34" s="7">
        <v>0.57999999999999996</v>
      </c>
      <c r="G34" s="7">
        <v>0.81</v>
      </c>
      <c r="H34" s="7">
        <f t="shared" si="5"/>
        <v>7.8574214268826964E-2</v>
      </c>
      <c r="I34" s="7">
        <f t="shared" si="6"/>
        <v>0.28031092427664495</v>
      </c>
      <c r="J34" s="7">
        <f t="shared" si="2"/>
        <v>0.80011930011211274</v>
      </c>
      <c r="K34" s="7">
        <v>1</v>
      </c>
      <c r="L34" s="7">
        <v>62</v>
      </c>
    </row>
    <row r="35" spans="1:12" x14ac:dyDescent="0.2">
      <c r="A35" s="6" t="s">
        <v>55</v>
      </c>
      <c r="B35" s="7" t="s">
        <v>40</v>
      </c>
      <c r="C35" s="8">
        <v>387</v>
      </c>
      <c r="D35" s="8">
        <v>48</v>
      </c>
      <c r="E35" s="7">
        <v>0.62</v>
      </c>
      <c r="F35" s="7">
        <v>0.52</v>
      </c>
      <c r="G35" s="7">
        <v>0.71</v>
      </c>
      <c r="H35" s="7">
        <f t="shared" si="5"/>
        <v>3.3304808775796717E-2</v>
      </c>
      <c r="I35" s="7">
        <f t="shared" si="6"/>
        <v>0.18249605139782263</v>
      </c>
      <c r="J35" s="7">
        <f t="shared" si="2"/>
        <v>0.48954822531870579</v>
      </c>
      <c r="K35" s="7">
        <v>1</v>
      </c>
      <c r="L35" s="7">
        <v>63</v>
      </c>
    </row>
    <row r="36" spans="1:12" x14ac:dyDescent="0.2">
      <c r="A36" s="6" t="s">
        <v>55</v>
      </c>
      <c r="B36" s="7" t="s">
        <v>57</v>
      </c>
      <c r="C36" s="8">
        <v>387</v>
      </c>
      <c r="D36" s="8">
        <v>48</v>
      </c>
      <c r="E36" s="7">
        <v>0.57999999999999996</v>
      </c>
      <c r="F36" s="7">
        <v>0.49</v>
      </c>
      <c r="G36" s="7">
        <v>0.67</v>
      </c>
      <c r="H36" s="7">
        <f t="shared" si="5"/>
        <v>3.2443427021912177E-2</v>
      </c>
      <c r="I36" s="7">
        <f t="shared" si="6"/>
        <v>0.18012059022197371</v>
      </c>
      <c r="J36" s="7">
        <f t="shared" si="2"/>
        <v>0.3227733922630508</v>
      </c>
      <c r="K36" s="7">
        <v>1</v>
      </c>
      <c r="L36" s="7">
        <v>66</v>
      </c>
    </row>
    <row r="37" spans="1:12" x14ac:dyDescent="0.2">
      <c r="A37" s="6" t="s">
        <v>55</v>
      </c>
      <c r="B37" s="7" t="s">
        <v>58</v>
      </c>
      <c r="C37" s="8">
        <v>387</v>
      </c>
      <c r="D37" s="8">
        <v>48</v>
      </c>
      <c r="E37" s="7">
        <v>0.76</v>
      </c>
      <c r="F37" s="7">
        <v>0.69</v>
      </c>
      <c r="G37" s="7">
        <v>0.83</v>
      </c>
      <c r="H37" s="7">
        <f t="shared" si="5"/>
        <v>4.0897082558447533E-2</v>
      </c>
      <c r="I37" s="7">
        <f t="shared" si="6"/>
        <v>0.20223027112291456</v>
      </c>
      <c r="J37" s="7">
        <f t="shared" si="2"/>
        <v>1.1526795099383855</v>
      </c>
      <c r="K37" s="7">
        <v>1</v>
      </c>
      <c r="L37" s="7">
        <v>69</v>
      </c>
    </row>
    <row r="38" spans="1:12" x14ac:dyDescent="0.2">
      <c r="A38" s="6" t="s">
        <v>61</v>
      </c>
      <c r="B38" s="7" t="s">
        <v>42</v>
      </c>
      <c r="C38" s="9">
        <v>495</v>
      </c>
      <c r="D38" s="8">
        <v>221</v>
      </c>
      <c r="E38" s="7">
        <v>0.72</v>
      </c>
      <c r="F38" s="7">
        <v>0.67</v>
      </c>
      <c r="G38" s="7">
        <v>0.76</v>
      </c>
      <c r="H38" s="7">
        <f t="shared" si="5"/>
        <v>1.2951505824365534E-2</v>
      </c>
      <c r="I38" s="7">
        <f t="shared" si="6"/>
        <v>0.11380468278750894</v>
      </c>
      <c r="J38" s="7">
        <f t="shared" si="2"/>
        <v>0.94446160884085129</v>
      </c>
      <c r="K38" s="7">
        <v>2</v>
      </c>
      <c r="L38" s="7">
        <v>72</v>
      </c>
    </row>
    <row r="39" spans="1:12" x14ac:dyDescent="0.2">
      <c r="A39" s="6" t="s">
        <v>55</v>
      </c>
      <c r="B39" s="7" t="s">
        <v>59</v>
      </c>
      <c r="C39" s="9">
        <v>387</v>
      </c>
      <c r="D39" s="8">
        <v>48</v>
      </c>
      <c r="E39" s="7">
        <v>0.71</v>
      </c>
      <c r="F39" s="7">
        <v>0.63</v>
      </c>
      <c r="G39" s="7">
        <v>0.78</v>
      </c>
      <c r="H39" s="7">
        <f t="shared" si="5"/>
        <v>3.7070772577464342E-2</v>
      </c>
      <c r="I39" s="7">
        <f t="shared" si="6"/>
        <v>0.1925377172853785</v>
      </c>
      <c r="J39" s="7">
        <f t="shared" si="2"/>
        <v>0.8953840470548412</v>
      </c>
      <c r="K39" s="7">
        <v>1</v>
      </c>
      <c r="L39" s="7">
        <v>75</v>
      </c>
    </row>
    <row r="40" spans="1:12" x14ac:dyDescent="0.2">
      <c r="A40" s="6" t="s">
        <v>43</v>
      </c>
      <c r="B40" s="7" t="s">
        <v>44</v>
      </c>
      <c r="C40" s="9">
        <v>208</v>
      </c>
      <c r="D40" s="9">
        <v>110</v>
      </c>
      <c r="E40" s="7">
        <v>0.65</v>
      </c>
      <c r="F40" s="7">
        <v>0.56999999999999995</v>
      </c>
      <c r="G40" s="7">
        <v>0.72</v>
      </c>
      <c r="H40" s="7">
        <f t="shared" si="5"/>
        <v>2.7841326542625243E-2</v>
      </c>
      <c r="I40" s="7">
        <f t="shared" si="6"/>
        <v>0.16685720404772833</v>
      </c>
      <c r="J40" s="7">
        <f t="shared" si="2"/>
        <v>0.61903920840622362</v>
      </c>
      <c r="K40" s="7">
        <v>2</v>
      </c>
      <c r="L40" s="7">
        <v>78</v>
      </c>
    </row>
    <row r="41" spans="1:12" x14ac:dyDescent="0.2">
      <c r="A41" s="6" t="s">
        <v>45</v>
      </c>
      <c r="B41" s="7" t="s">
        <v>46</v>
      </c>
      <c r="C41" s="9">
        <v>138</v>
      </c>
      <c r="D41" s="9">
        <v>65</v>
      </c>
      <c r="E41" s="7">
        <v>0.63</v>
      </c>
      <c r="F41" s="7">
        <v>0.53</v>
      </c>
      <c r="G41" s="7">
        <v>0.72</v>
      </c>
      <c r="H41" s="7">
        <f t="shared" si="5"/>
        <v>4.127008727162209E-2</v>
      </c>
      <c r="I41" s="7">
        <f t="shared" si="6"/>
        <v>0.20315040554136754</v>
      </c>
      <c r="J41" s="7">
        <f t="shared" si="2"/>
        <v>0.53221681374730823</v>
      </c>
      <c r="K41" s="7">
        <v>1</v>
      </c>
      <c r="L41" s="7">
        <v>81</v>
      </c>
    </row>
    <row r="42" spans="1:12" x14ac:dyDescent="0.2">
      <c r="A42" s="6" t="s">
        <v>45</v>
      </c>
      <c r="B42" s="7" t="s">
        <v>47</v>
      </c>
      <c r="C42" s="9">
        <v>138</v>
      </c>
      <c r="D42" s="9">
        <v>65</v>
      </c>
      <c r="E42" s="7">
        <v>0.77</v>
      </c>
      <c r="F42" s="7">
        <v>0.68</v>
      </c>
      <c r="G42" s="7">
        <v>0.85</v>
      </c>
      <c r="H42" s="7">
        <f t="shared" si="5"/>
        <v>5.1523661637262505E-2</v>
      </c>
      <c r="I42" s="7">
        <f t="shared" si="6"/>
        <v>0.22698824118720887</v>
      </c>
      <c r="J42" s="7">
        <f t="shared" si="2"/>
        <v>1.2083112059245342</v>
      </c>
      <c r="K42" s="7">
        <v>1</v>
      </c>
      <c r="L42" s="7">
        <v>84</v>
      </c>
    </row>
    <row r="43" spans="1:12" x14ac:dyDescent="0.2">
      <c r="A43" s="6" t="s">
        <v>12</v>
      </c>
      <c r="B43" s="7" t="s">
        <v>48</v>
      </c>
      <c r="C43" s="9">
        <v>71</v>
      </c>
      <c r="D43" s="9">
        <v>11</v>
      </c>
      <c r="E43" s="7">
        <v>0.65</v>
      </c>
      <c r="F43" s="7">
        <v>0.51</v>
      </c>
      <c r="G43" s="7">
        <v>0.77</v>
      </c>
      <c r="H43" s="7">
        <f t="shared" si="5"/>
        <v>0.15674561129106585</v>
      </c>
      <c r="I43" s="7">
        <f t="shared" si="6"/>
        <v>0.39591111539216206</v>
      </c>
      <c r="J43" s="7">
        <f t="shared" si="2"/>
        <v>0.61903920840622362</v>
      </c>
      <c r="K43" s="7">
        <v>1</v>
      </c>
      <c r="L43" s="7">
        <v>87</v>
      </c>
    </row>
    <row r="44" spans="1:12" x14ac:dyDescent="0.2">
      <c r="A44" s="6" t="s">
        <v>55</v>
      </c>
      <c r="B44" s="7" t="s">
        <v>48</v>
      </c>
      <c r="C44" s="9">
        <v>387</v>
      </c>
      <c r="D44" s="9">
        <v>48</v>
      </c>
      <c r="E44" s="7">
        <v>0.69</v>
      </c>
      <c r="F44" s="7">
        <v>0.61</v>
      </c>
      <c r="G44" s="7">
        <v>0.78</v>
      </c>
      <c r="H44" s="7">
        <f t="shared" si="5"/>
        <v>3.5956099531065856E-2</v>
      </c>
      <c r="I44" s="7">
        <f t="shared" si="6"/>
        <v>0.18962093642598082</v>
      </c>
      <c r="J44" s="7">
        <f t="shared" si="2"/>
        <v>0.80011930011211274</v>
      </c>
      <c r="K44" s="7">
        <v>1</v>
      </c>
      <c r="L44" s="7">
        <v>88</v>
      </c>
    </row>
    <row r="45" spans="1:12" x14ac:dyDescent="0.2">
      <c r="A45" s="6" t="s">
        <v>21</v>
      </c>
      <c r="B45" s="10" t="s">
        <v>48</v>
      </c>
      <c r="C45" s="9">
        <v>78</v>
      </c>
      <c r="D45" s="9">
        <v>21</v>
      </c>
      <c r="E45" s="7">
        <v>0.68</v>
      </c>
      <c r="F45" s="7">
        <v>0.53</v>
      </c>
      <c r="G45" s="7">
        <v>0.82</v>
      </c>
      <c r="H45" s="7">
        <f t="shared" si="5"/>
        <v>9.8258335763864293E-2</v>
      </c>
      <c r="I45" s="7">
        <f t="shared" si="6"/>
        <v>0.31346185695210876</v>
      </c>
      <c r="J45" s="7">
        <f t="shared" si="2"/>
        <v>0.75377180237638042</v>
      </c>
      <c r="K45" s="7">
        <v>1</v>
      </c>
      <c r="L45" s="7">
        <v>89</v>
      </c>
    </row>
    <row r="46" spans="1:12" x14ac:dyDescent="0.2">
      <c r="A46" s="6" t="s">
        <v>61</v>
      </c>
      <c r="B46" s="7" t="s">
        <v>49</v>
      </c>
      <c r="C46" s="9">
        <v>671</v>
      </c>
      <c r="D46" s="9">
        <v>125</v>
      </c>
      <c r="E46" s="7">
        <v>0.68</v>
      </c>
      <c r="F46" s="7">
        <v>0.63</v>
      </c>
      <c r="G46" s="7">
        <v>0.73</v>
      </c>
      <c r="H46" s="7">
        <f t="shared" si="5"/>
        <v>1.4644188094818348E-2</v>
      </c>
      <c r="I46" s="7">
        <f t="shared" si="6"/>
        <v>0.12101317322844794</v>
      </c>
      <c r="J46" s="7">
        <f t="shared" si="2"/>
        <v>0.75377180237638042</v>
      </c>
      <c r="K46" s="7">
        <v>2</v>
      </c>
      <c r="L46" s="7">
        <v>92</v>
      </c>
    </row>
    <row r="47" spans="1:12" x14ac:dyDescent="0.2">
      <c r="A47" s="6" t="s">
        <v>39</v>
      </c>
      <c r="B47" s="7" t="s">
        <v>49</v>
      </c>
      <c r="C47" s="9">
        <v>131</v>
      </c>
      <c r="D47" s="9">
        <v>51</v>
      </c>
      <c r="E47" s="7">
        <v>0.71</v>
      </c>
      <c r="F47" s="7">
        <v>0.61</v>
      </c>
      <c r="G47" s="7">
        <v>0.79</v>
      </c>
      <c r="H47" s="7">
        <f t="shared" si="5"/>
        <v>5.0329854767669865E-2</v>
      </c>
      <c r="I47" s="7">
        <f t="shared" si="6"/>
        <v>0.22434316296172224</v>
      </c>
      <c r="J47" s="7">
        <f t="shared" si="2"/>
        <v>0.8953840470548412</v>
      </c>
      <c r="K47" s="7">
        <v>1</v>
      </c>
      <c r="L47" s="7">
        <v>93</v>
      </c>
    </row>
    <row r="48" spans="1:12" x14ac:dyDescent="0.2">
      <c r="A48" s="6" t="s">
        <v>41</v>
      </c>
      <c r="B48" s="7" t="s">
        <v>49</v>
      </c>
      <c r="C48" s="8">
        <v>107</v>
      </c>
      <c r="D48" s="8">
        <v>70</v>
      </c>
      <c r="E48" s="7">
        <v>0.73</v>
      </c>
      <c r="F48" s="7">
        <v>0.63</v>
      </c>
      <c r="G48" s="7">
        <v>0.83</v>
      </c>
      <c r="H48" s="7">
        <f t="shared" si="5"/>
        <v>6.7219071348424919E-2</v>
      </c>
      <c r="I48" s="7">
        <f t="shared" si="6"/>
        <v>0.25926640998869277</v>
      </c>
      <c r="J48" s="7">
        <f t="shared" si="2"/>
        <v>0.99462257514406205</v>
      </c>
      <c r="K48" s="7">
        <v>1</v>
      </c>
      <c r="L48" s="7">
        <v>94</v>
      </c>
    </row>
    <row r="49" spans="1:12" x14ac:dyDescent="0.2">
      <c r="A49" s="6" t="s">
        <v>36</v>
      </c>
      <c r="B49" s="7" t="s">
        <v>49</v>
      </c>
      <c r="C49" s="9">
        <v>45</v>
      </c>
      <c r="D49" s="9">
        <v>16</v>
      </c>
      <c r="E49" s="7">
        <v>0.54</v>
      </c>
      <c r="F49" s="7">
        <v>0.36</v>
      </c>
      <c r="G49" s="7">
        <v>0.71</v>
      </c>
      <c r="H49" s="7">
        <f t="shared" si="5"/>
        <v>0.13285834202430696</v>
      </c>
      <c r="I49" s="7">
        <f t="shared" si="6"/>
        <v>0.36449738273999577</v>
      </c>
      <c r="J49" s="7">
        <f t="shared" si="2"/>
        <v>0.16034265007517945</v>
      </c>
      <c r="K49" s="7">
        <v>2</v>
      </c>
      <c r="L49" s="7">
        <v>95</v>
      </c>
    </row>
    <row r="50" spans="1:12" x14ac:dyDescent="0.2">
      <c r="A50" s="6" t="s">
        <v>50</v>
      </c>
      <c r="B50" s="7" t="s">
        <v>49</v>
      </c>
      <c r="C50" s="9">
        <v>116</v>
      </c>
      <c r="D50" s="9">
        <v>53</v>
      </c>
      <c r="E50" s="7">
        <v>0.76</v>
      </c>
      <c r="F50" s="7">
        <v>0.66</v>
      </c>
      <c r="G50" s="7">
        <v>0.84</v>
      </c>
      <c r="H50" s="7">
        <f t="shared" si="5"/>
        <v>6.0170562721256239E-2</v>
      </c>
      <c r="I50" s="7">
        <f t="shared" si="6"/>
        <v>0.2452968868967893</v>
      </c>
      <c r="J50" s="7">
        <f t="shared" si="2"/>
        <v>1.1526795099383855</v>
      </c>
      <c r="K50" s="7">
        <v>1</v>
      </c>
      <c r="L50" s="7">
        <v>96</v>
      </c>
    </row>
    <row r="51" spans="1:12" x14ac:dyDescent="0.2">
      <c r="A51" s="6" t="s">
        <v>27</v>
      </c>
      <c r="B51" s="7" t="s">
        <v>51</v>
      </c>
      <c r="C51" s="8">
        <v>54</v>
      </c>
      <c r="D51" s="8">
        <v>17</v>
      </c>
      <c r="E51" s="7">
        <v>0.8</v>
      </c>
      <c r="F51" s="7">
        <v>0.64</v>
      </c>
      <c r="G51" s="7">
        <v>0.9</v>
      </c>
      <c r="H51" s="7">
        <f t="shared" si="5"/>
        <v>0.16781487369722667</v>
      </c>
      <c r="I51" s="7">
        <f t="shared" si="6"/>
        <v>0.40965213742543399</v>
      </c>
      <c r="J51" s="7">
        <f t="shared" si="2"/>
        <v>1.3862943611198908</v>
      </c>
      <c r="K51" s="7">
        <v>2</v>
      </c>
      <c r="L51" s="7">
        <v>99</v>
      </c>
    </row>
    <row r="52" spans="1:12" x14ac:dyDescent="0.2">
      <c r="A52" s="6" t="s">
        <v>28</v>
      </c>
      <c r="B52" s="7" t="s">
        <v>51</v>
      </c>
      <c r="C52" s="8">
        <v>163</v>
      </c>
      <c r="D52" s="8"/>
      <c r="E52" s="7">
        <v>0.57999999999999996</v>
      </c>
      <c r="F52" s="7">
        <v>0.48</v>
      </c>
      <c r="G52" s="7">
        <v>0.69</v>
      </c>
      <c r="H52" s="7"/>
      <c r="I52" s="7"/>
      <c r="J52" s="7">
        <f t="shared" si="2"/>
        <v>0.3227733922630508</v>
      </c>
      <c r="K52" s="7">
        <v>1</v>
      </c>
      <c r="L52" s="7">
        <v>100</v>
      </c>
    </row>
    <row r="53" spans="1:12" x14ac:dyDescent="0.2">
      <c r="A53" s="6" t="s">
        <v>12</v>
      </c>
      <c r="B53" s="7" t="s">
        <v>52</v>
      </c>
      <c r="C53" s="9">
        <v>71</v>
      </c>
      <c r="D53" s="9">
        <v>11</v>
      </c>
      <c r="E53" s="7">
        <v>0.67</v>
      </c>
      <c r="F53" s="7">
        <v>0.53</v>
      </c>
      <c r="G53" s="7">
        <v>0.8</v>
      </c>
      <c r="H53" s="7">
        <f>(1+(C53/2-1)*(1-E53)/(2-E53)+(C53/2-1)*E53/(1+E53))/(E53*(1-E53)*D53*(C53-D53))</f>
        <v>0.16036530667056803</v>
      </c>
      <c r="I53" s="7">
        <f>SQRT(H53)</f>
        <v>0.40045637299282433</v>
      </c>
      <c r="J53" s="7">
        <f t="shared" si="2"/>
        <v>0.70818505792448616</v>
      </c>
      <c r="K53" s="7">
        <v>1</v>
      </c>
      <c r="L53" s="7">
        <v>103</v>
      </c>
    </row>
    <row r="54" spans="1:12" x14ac:dyDescent="0.2">
      <c r="A54" s="6" t="s">
        <v>41</v>
      </c>
      <c r="B54" s="7" t="s">
        <v>53</v>
      </c>
      <c r="C54" s="8">
        <v>96</v>
      </c>
      <c r="D54" s="8">
        <v>27</v>
      </c>
      <c r="E54" s="7">
        <v>0.71</v>
      </c>
      <c r="F54" s="7">
        <v>0.62</v>
      </c>
      <c r="G54" s="7">
        <v>0.84</v>
      </c>
      <c r="H54" s="7">
        <f>(1+(C54/2-1)*(1-E54)/(2-E54)+(C54/2-1)*E54/(1+E54))/(E54*(1-E54)*D54*(C54-D54))</f>
        <v>8.1024984002284597E-2</v>
      </c>
      <c r="I54" s="7">
        <f>SQRT(H54)</f>
        <v>0.28464887844901937</v>
      </c>
      <c r="J54" s="7">
        <f t="shared" si="2"/>
        <v>0.8953840470548412</v>
      </c>
      <c r="K54" s="7">
        <v>1</v>
      </c>
      <c r="L54" s="7">
        <v>106</v>
      </c>
    </row>
    <row r="55" spans="1:12" x14ac:dyDescent="0.2">
      <c r="A55" s="6" t="s">
        <v>24</v>
      </c>
      <c r="B55" s="7" t="s">
        <v>54</v>
      </c>
      <c r="C55" s="8">
        <v>226</v>
      </c>
      <c r="D55" s="8">
        <v>68</v>
      </c>
      <c r="E55" s="7">
        <v>0.72</v>
      </c>
      <c r="F55" s="7">
        <v>0.65</v>
      </c>
      <c r="G55" s="7">
        <v>0.78</v>
      </c>
      <c r="H55" s="7">
        <f>(1+(C55/2-1)*(1-E55)/(2-E55)+(C55/2-1)*E55/(1+E55))/(E55*(1-E55)*D55*(C55-D55))</f>
        <v>3.3418301821759019E-2</v>
      </c>
      <c r="I55" s="7">
        <f>SQRT(H55)</f>
        <v>0.18280673352412111</v>
      </c>
      <c r="J55" s="7">
        <f t="shared" si="2"/>
        <v>0.94446160884085129</v>
      </c>
      <c r="K55" s="7">
        <v>1</v>
      </c>
      <c r="L55" s="7">
        <v>109</v>
      </c>
    </row>
  </sheetData>
  <autoFilter ref="A1:L55" xr:uid="{00000000-0001-0000-0000-000000000000}">
    <sortState xmlns:xlrd2="http://schemas.microsoft.com/office/spreadsheetml/2017/richdata2" ref="A2:L55">
      <sortCondition descending="1" ref="B1:B5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A1D5-1CCF-4A0A-A907-337B8F7A090E}">
  <dimension ref="A1:L20"/>
  <sheetViews>
    <sheetView zoomScale="67" workbookViewId="0">
      <selection activeCell="H8" sqref="H8"/>
    </sheetView>
  </sheetViews>
  <sheetFormatPr baseColWidth="10" defaultColWidth="8.83203125" defaultRowHeight="15" x14ac:dyDescent="0.2"/>
  <cols>
    <col min="1" max="1" width="27.3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">
      <c r="A2" s="5" t="s">
        <v>21</v>
      </c>
      <c r="B2" t="s">
        <v>22</v>
      </c>
      <c r="C2" s="4">
        <v>66</v>
      </c>
      <c r="D2" s="4">
        <v>18</v>
      </c>
      <c r="E2">
        <v>0.67</v>
      </c>
      <c r="F2">
        <v>0.5</v>
      </c>
      <c r="G2">
        <v>0.85</v>
      </c>
      <c r="H2">
        <f>(1+(C2/2-1)*(1-E2)/(2-E2)+(C2/2-1)*E2/(1+E2))/(E2*(1-E2)*D2*(C2-D2))</f>
        <v>0.11400370295698257</v>
      </c>
      <c r="I2">
        <f>SQRT(H2)</f>
        <v>0.33764434388418618</v>
      </c>
      <c r="J2">
        <f t="shared" ref="J2:J20" si="0">LN(E2)-LN(1-E2)</f>
        <v>0.70818505792448616</v>
      </c>
      <c r="K2">
        <v>1</v>
      </c>
      <c r="L2">
        <v>0</v>
      </c>
    </row>
    <row r="3" spans="1:12" x14ac:dyDescent="0.2">
      <c r="A3" s="5" t="s">
        <v>19</v>
      </c>
      <c r="B3" t="s">
        <v>20</v>
      </c>
      <c r="C3" s="3">
        <v>320</v>
      </c>
      <c r="D3" s="3">
        <v>59</v>
      </c>
      <c r="E3">
        <v>0.73</v>
      </c>
      <c r="F3">
        <v>0.65</v>
      </c>
      <c r="G3">
        <v>0.79</v>
      </c>
      <c r="H3">
        <f>(1+(C3/2-1)*(1-E3)/(2-E3)+(C3/2-1)*E3/(1+E3))/(E3*(1-E3)*D3*(C3-D3))</f>
        <v>3.3571939942410013E-2</v>
      </c>
      <c r="I3">
        <f>SQRT(H3)</f>
        <v>0.18322647172941472</v>
      </c>
      <c r="J3">
        <f t="shared" si="0"/>
        <v>0.99462257514406205</v>
      </c>
      <c r="K3">
        <v>2</v>
      </c>
      <c r="L3">
        <v>6</v>
      </c>
    </row>
    <row r="4" spans="1:12" x14ac:dyDescent="0.2">
      <c r="A4" s="5" t="s">
        <v>24</v>
      </c>
      <c r="B4" t="s">
        <v>26</v>
      </c>
      <c r="C4" s="4">
        <v>264</v>
      </c>
      <c r="D4" s="4">
        <v>26</v>
      </c>
      <c r="E4">
        <v>0.77</v>
      </c>
      <c r="F4">
        <v>0.68</v>
      </c>
      <c r="G4">
        <v>0.86</v>
      </c>
      <c r="H4">
        <f>(1+(C4/2-1)*(1-E4)/(2-E4)+(C4/2-1)*E4/(1+E4))/(E4*(1-E4)*D4*(C4-D4))</f>
        <v>7.5266928471894715E-2</v>
      </c>
      <c r="I4">
        <f>SQRT(H4)</f>
        <v>0.27434818838821357</v>
      </c>
      <c r="J4">
        <f t="shared" si="0"/>
        <v>1.2083112059245342</v>
      </c>
      <c r="K4">
        <v>1</v>
      </c>
      <c r="L4">
        <v>13</v>
      </c>
    </row>
    <row r="5" spans="1:12" x14ac:dyDescent="0.2">
      <c r="A5" s="5" t="s">
        <v>15</v>
      </c>
      <c r="B5" t="s">
        <v>16</v>
      </c>
      <c r="C5" s="3">
        <v>89</v>
      </c>
      <c r="D5" s="3">
        <v>34</v>
      </c>
      <c r="E5">
        <v>0.56999999999999995</v>
      </c>
      <c r="F5">
        <v>0.45</v>
      </c>
      <c r="G5">
        <v>0.69</v>
      </c>
      <c r="H5">
        <f>(1+(C5/2-1)*(1-E5)/(2-E5)+(C5/2-1)*E5/(1+E5))/(E5*(1-E5)*D5*(C5-D5))</f>
        <v>6.5177834674034235E-2</v>
      </c>
      <c r="I5">
        <f>SQRT(H5)</f>
        <v>0.25529949994865686</v>
      </c>
      <c r="J5">
        <f t="shared" si="0"/>
        <v>0.28185115214098755</v>
      </c>
      <c r="K5">
        <v>2</v>
      </c>
      <c r="L5">
        <v>19</v>
      </c>
    </row>
    <row r="6" spans="1:12" x14ac:dyDescent="0.2">
      <c r="A6" s="5" t="s">
        <v>18</v>
      </c>
      <c r="B6" t="s">
        <v>16</v>
      </c>
      <c r="C6" s="3">
        <v>135</v>
      </c>
      <c r="D6" s="3">
        <v>63</v>
      </c>
      <c r="E6">
        <v>0.7</v>
      </c>
      <c r="F6">
        <v>0.61</v>
      </c>
      <c r="G6">
        <v>0.8</v>
      </c>
      <c r="H6">
        <f>(1+(C6/2-1)*(1-E6)/(2-E6)+(C6/2-1)*E6/(1+E6))/(E6*(1-E6)*D6*(C6-D6))</f>
        <v>4.5906301741969344E-2</v>
      </c>
      <c r="I6">
        <f>SQRT(H6)</f>
        <v>0.21425755935781904</v>
      </c>
      <c r="J6">
        <f t="shared" si="0"/>
        <v>0.84729786038720345</v>
      </c>
      <c r="K6">
        <v>1</v>
      </c>
      <c r="L6">
        <v>20</v>
      </c>
    </row>
    <row r="7" spans="1:12" x14ac:dyDescent="0.2">
      <c r="A7" s="5" t="s">
        <v>28</v>
      </c>
      <c r="B7" t="s">
        <v>13</v>
      </c>
      <c r="C7" s="4">
        <v>163</v>
      </c>
      <c r="D7" s="4"/>
      <c r="E7">
        <v>0.59</v>
      </c>
      <c r="F7">
        <v>0.48</v>
      </c>
      <c r="G7">
        <v>0.69</v>
      </c>
      <c r="J7">
        <f t="shared" si="0"/>
        <v>0.36396537720141153</v>
      </c>
      <c r="K7">
        <v>1</v>
      </c>
      <c r="L7">
        <v>25</v>
      </c>
    </row>
    <row r="8" spans="1:12" x14ac:dyDescent="0.2">
      <c r="A8" s="5" t="s">
        <v>30</v>
      </c>
      <c r="B8" t="s">
        <v>31</v>
      </c>
      <c r="C8" s="3">
        <v>65</v>
      </c>
      <c r="D8" s="3">
        <v>8</v>
      </c>
      <c r="E8">
        <v>0.66</v>
      </c>
      <c r="F8">
        <v>0.47</v>
      </c>
      <c r="G8">
        <v>0.85</v>
      </c>
      <c r="H8">
        <f>(1+(C8/2-1)*(1-E8)/(2-E8)+(C8/2-1)*E8/(1+E8))/(E8*(1-E8)*D8*(C8-D8))</f>
        <v>0.2102745107711696</v>
      </c>
      <c r="I8">
        <f>SQRT(H8)</f>
        <v>0.4585569874848377</v>
      </c>
      <c r="J8">
        <f t="shared" si="0"/>
        <v>0.66329421741026429</v>
      </c>
      <c r="K8">
        <v>1</v>
      </c>
      <c r="L8">
        <v>37</v>
      </c>
    </row>
    <row r="9" spans="1:12" x14ac:dyDescent="0.2">
      <c r="A9" s="5" t="s">
        <v>34</v>
      </c>
      <c r="B9" t="s">
        <v>33</v>
      </c>
      <c r="C9" s="3">
        <v>94</v>
      </c>
      <c r="D9" s="3">
        <v>69</v>
      </c>
      <c r="E9">
        <v>0.74</v>
      </c>
      <c r="F9">
        <v>0.63</v>
      </c>
      <c r="G9">
        <v>0.84</v>
      </c>
      <c r="H9">
        <f>(1+(C9/2-1)*(1-E9)/(2-E9)+(C9/2-1)*E9/(1+E9))/(E9*(1-E9)*D9*(C9-D9))</f>
        <v>9.0557961622429364E-2</v>
      </c>
      <c r="I9">
        <f>SQRT(H9)</f>
        <v>0.30092849918615111</v>
      </c>
      <c r="J9">
        <f t="shared" si="0"/>
        <v>1.0459685551826876</v>
      </c>
      <c r="K9">
        <v>1</v>
      </c>
      <c r="L9">
        <v>44</v>
      </c>
    </row>
    <row r="10" spans="1:12" x14ac:dyDescent="0.2">
      <c r="A10" s="5" t="s">
        <v>35</v>
      </c>
      <c r="B10" t="s">
        <v>33</v>
      </c>
      <c r="C10" s="4">
        <v>162</v>
      </c>
      <c r="D10" s="4"/>
      <c r="E10">
        <v>0.57999999999999996</v>
      </c>
      <c r="F10">
        <v>0.49</v>
      </c>
      <c r="G10">
        <v>0.67</v>
      </c>
      <c r="J10">
        <f t="shared" si="0"/>
        <v>0.3227733922630508</v>
      </c>
      <c r="K10">
        <v>1</v>
      </c>
      <c r="L10">
        <v>46</v>
      </c>
    </row>
    <row r="11" spans="1:12" x14ac:dyDescent="0.2">
      <c r="A11" s="5" t="s">
        <v>37</v>
      </c>
      <c r="B11" t="s">
        <v>33</v>
      </c>
      <c r="C11" s="4">
        <v>71</v>
      </c>
      <c r="D11" s="4">
        <v>13</v>
      </c>
      <c r="E11">
        <v>0.46</v>
      </c>
      <c r="F11">
        <v>0.28999999999999998</v>
      </c>
      <c r="G11">
        <v>0.63</v>
      </c>
      <c r="H11">
        <f t="shared" ref="H11:H20" si="1">(1+(C11/2-1)*(1-E11)/(2-E11)+(C11/2-1)*E11/(1+E11))/(E11*(1-E11)*D11*(C11-D11))</f>
        <v>0.12796628187562856</v>
      </c>
      <c r="I11">
        <f t="shared" ref="I11:I20" si="2">SQRT(H11)</f>
        <v>0.35772375078491581</v>
      </c>
      <c r="J11">
        <f t="shared" si="0"/>
        <v>-0.16034265007517934</v>
      </c>
      <c r="K11">
        <v>1</v>
      </c>
      <c r="L11">
        <v>48</v>
      </c>
    </row>
    <row r="12" spans="1:12" x14ac:dyDescent="0.2">
      <c r="A12" s="5" t="s">
        <v>38</v>
      </c>
      <c r="B12" t="s">
        <v>33</v>
      </c>
      <c r="C12" s="4">
        <v>153</v>
      </c>
      <c r="D12" s="4">
        <v>22</v>
      </c>
      <c r="E12">
        <v>0.78</v>
      </c>
      <c r="F12">
        <v>0.7</v>
      </c>
      <c r="G12">
        <v>0.85</v>
      </c>
      <c r="H12">
        <f t="shared" si="1"/>
        <v>9.6449111358504466E-2</v>
      </c>
      <c r="I12">
        <f t="shared" si="2"/>
        <v>0.31056257237230706</v>
      </c>
      <c r="J12">
        <f t="shared" si="0"/>
        <v>1.2656663733312761</v>
      </c>
      <c r="K12">
        <v>1</v>
      </c>
      <c r="L12">
        <v>50</v>
      </c>
    </row>
    <row r="13" spans="1:12" x14ac:dyDescent="0.2">
      <c r="A13" s="5" t="s">
        <v>39</v>
      </c>
      <c r="B13" t="s">
        <v>40</v>
      </c>
      <c r="C13" s="3">
        <v>131</v>
      </c>
      <c r="D13" s="3">
        <v>51</v>
      </c>
      <c r="E13">
        <v>0.68</v>
      </c>
      <c r="F13">
        <v>0.57999999999999996</v>
      </c>
      <c r="G13">
        <v>0.77</v>
      </c>
      <c r="H13">
        <f t="shared" si="1"/>
        <v>4.8144989111954944E-2</v>
      </c>
      <c r="I13">
        <f t="shared" si="2"/>
        <v>0.21941966436934257</v>
      </c>
      <c r="J13">
        <f t="shared" si="0"/>
        <v>0.75377180237638042</v>
      </c>
      <c r="K13">
        <v>1</v>
      </c>
      <c r="L13">
        <v>53</v>
      </c>
    </row>
    <row r="14" spans="1:12" x14ac:dyDescent="0.2">
      <c r="A14" s="5" t="s">
        <v>41</v>
      </c>
      <c r="B14" t="s">
        <v>40</v>
      </c>
      <c r="C14" s="4">
        <v>96</v>
      </c>
      <c r="D14" s="4">
        <v>27</v>
      </c>
      <c r="E14">
        <v>0.69</v>
      </c>
      <c r="F14">
        <v>0.57999999999999996</v>
      </c>
      <c r="G14">
        <v>0.81</v>
      </c>
      <c r="H14">
        <f t="shared" si="1"/>
        <v>7.8574214268826964E-2</v>
      </c>
      <c r="I14">
        <f t="shared" si="2"/>
        <v>0.28031092427664495</v>
      </c>
      <c r="J14">
        <f t="shared" si="0"/>
        <v>0.80011930011211274</v>
      </c>
      <c r="K14">
        <v>1</v>
      </c>
      <c r="L14">
        <v>55</v>
      </c>
    </row>
    <row r="15" spans="1:12" x14ac:dyDescent="0.2">
      <c r="A15" s="5" t="s">
        <v>43</v>
      </c>
      <c r="B15" t="s">
        <v>44</v>
      </c>
      <c r="C15" s="3">
        <v>208</v>
      </c>
      <c r="D15" s="3">
        <v>110</v>
      </c>
      <c r="E15">
        <v>0.65</v>
      </c>
      <c r="F15">
        <v>0.56999999999999995</v>
      </c>
      <c r="G15">
        <v>0.72</v>
      </c>
      <c r="H15">
        <f t="shared" si="1"/>
        <v>2.7841326542625243E-2</v>
      </c>
      <c r="I15">
        <f t="shared" si="2"/>
        <v>0.16685720404772833</v>
      </c>
      <c r="J15">
        <f t="shared" si="0"/>
        <v>0.61903920840622362</v>
      </c>
      <c r="K15">
        <v>2</v>
      </c>
      <c r="L15">
        <v>61</v>
      </c>
    </row>
    <row r="16" spans="1:12" x14ac:dyDescent="0.2">
      <c r="A16" s="5" t="s">
        <v>45</v>
      </c>
      <c r="B16" t="s">
        <v>47</v>
      </c>
      <c r="C16" s="3">
        <v>138</v>
      </c>
      <c r="D16" s="3">
        <v>65</v>
      </c>
      <c r="E16">
        <v>0.77</v>
      </c>
      <c r="F16">
        <v>0.68</v>
      </c>
      <c r="G16">
        <v>0.85</v>
      </c>
      <c r="H16">
        <f t="shared" si="1"/>
        <v>5.1523661637262505E-2</v>
      </c>
      <c r="I16">
        <f t="shared" si="2"/>
        <v>0.22698824118720887</v>
      </c>
      <c r="J16">
        <f t="shared" si="0"/>
        <v>1.2083112059245342</v>
      </c>
      <c r="K16">
        <v>1</v>
      </c>
      <c r="L16">
        <v>67</v>
      </c>
    </row>
    <row r="17" spans="1:12" x14ac:dyDescent="0.2">
      <c r="A17" s="5" t="s">
        <v>36</v>
      </c>
      <c r="B17" t="s">
        <v>49</v>
      </c>
      <c r="C17" s="3">
        <v>45</v>
      </c>
      <c r="D17" s="3">
        <v>16</v>
      </c>
      <c r="E17">
        <v>0.54</v>
      </c>
      <c r="F17">
        <v>0.36</v>
      </c>
      <c r="G17">
        <v>0.71</v>
      </c>
      <c r="H17">
        <f t="shared" si="1"/>
        <v>0.13285834202430696</v>
      </c>
      <c r="I17">
        <f t="shared" si="2"/>
        <v>0.36449738273999577</v>
      </c>
      <c r="J17">
        <f t="shared" si="0"/>
        <v>0.16034265007517945</v>
      </c>
      <c r="K17">
        <v>2</v>
      </c>
      <c r="L17">
        <v>77</v>
      </c>
    </row>
    <row r="18" spans="1:12" x14ac:dyDescent="0.2">
      <c r="A18" s="5" t="s">
        <v>50</v>
      </c>
      <c r="B18" t="s">
        <v>49</v>
      </c>
      <c r="C18" s="3">
        <v>116</v>
      </c>
      <c r="D18" s="3">
        <v>53</v>
      </c>
      <c r="E18">
        <v>0.76</v>
      </c>
      <c r="F18">
        <v>0.66</v>
      </c>
      <c r="G18">
        <v>0.84</v>
      </c>
      <c r="H18">
        <f t="shared" si="1"/>
        <v>6.0170562721256239E-2</v>
      </c>
      <c r="I18">
        <f t="shared" si="2"/>
        <v>0.2452968868967893</v>
      </c>
      <c r="J18">
        <f t="shared" si="0"/>
        <v>1.1526795099383855</v>
      </c>
      <c r="K18">
        <v>1</v>
      </c>
      <c r="L18">
        <v>78</v>
      </c>
    </row>
    <row r="19" spans="1:12" x14ac:dyDescent="0.2">
      <c r="A19" s="5" t="s">
        <v>27</v>
      </c>
      <c r="B19" t="s">
        <v>51</v>
      </c>
      <c r="C19" s="4">
        <v>140</v>
      </c>
      <c r="D19" s="4">
        <v>20</v>
      </c>
      <c r="E19">
        <v>0.76</v>
      </c>
      <c r="F19">
        <v>0.63</v>
      </c>
      <c r="G19">
        <v>0.86</v>
      </c>
      <c r="H19">
        <f t="shared" si="1"/>
        <v>0.10085501931453757</v>
      </c>
      <c r="I19">
        <f t="shared" si="2"/>
        <v>0.31757679278331652</v>
      </c>
      <c r="J19">
        <f t="shared" si="0"/>
        <v>1.1526795099383855</v>
      </c>
      <c r="K19">
        <v>2</v>
      </c>
      <c r="L19">
        <v>81</v>
      </c>
    </row>
    <row r="20" spans="1:12" x14ac:dyDescent="0.2">
      <c r="A20" s="5" t="s">
        <v>12</v>
      </c>
      <c r="B20" t="s">
        <v>52</v>
      </c>
      <c r="C20" s="3">
        <v>71</v>
      </c>
      <c r="D20" s="3">
        <v>11</v>
      </c>
      <c r="E20">
        <v>0.67</v>
      </c>
      <c r="F20">
        <v>0.53</v>
      </c>
      <c r="G20">
        <v>0.8</v>
      </c>
      <c r="H20">
        <f t="shared" si="1"/>
        <v>0.16036530667056803</v>
      </c>
      <c r="I20">
        <f t="shared" si="2"/>
        <v>0.40045637299282433</v>
      </c>
      <c r="J20">
        <f t="shared" si="0"/>
        <v>0.70818505792448616</v>
      </c>
      <c r="K20">
        <v>1</v>
      </c>
      <c r="L20">
        <v>88</v>
      </c>
    </row>
  </sheetData>
  <autoFilter ref="A1:L20" xr:uid="{EABDA1D5-1CCF-4A0A-A907-337B8F7A090E}">
    <sortState xmlns:xlrd2="http://schemas.microsoft.com/office/spreadsheetml/2017/richdata2" ref="A2:L20">
      <sortCondition descending="1" ref="B1:B2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Ogonah</dc:creator>
  <cp:keywords/>
  <dc:description/>
  <cp:lastModifiedBy>Ogonah, Maya</cp:lastModifiedBy>
  <cp:revision/>
  <dcterms:created xsi:type="dcterms:W3CDTF">2022-10-14T09:32:46Z</dcterms:created>
  <dcterms:modified xsi:type="dcterms:W3CDTF">2025-10-16T19:41:09Z</dcterms:modified>
  <cp:category/>
  <cp:contentStatus/>
</cp:coreProperties>
</file>